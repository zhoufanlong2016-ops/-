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01 绿色程序\文档翻译器\"/>
    </mc:Choice>
  </mc:AlternateContent>
  <xr:revisionPtr revIDLastSave="0" documentId="13_ncr:1_{3978A4A8-291D-483B-A74B-CFB6B2D6F045}" xr6:coauthVersionLast="47" xr6:coauthVersionMax="47" xr10:uidLastSave="{00000000-0000-0000-0000-000000000000}"/>
  <bookViews>
    <workbookView xWindow="-120" yWindow="-120" windowWidth="38640" windowHeight="21390" xr2:uid="{00000000-000D-0000-FFFF-FFFF00000000}"/>
  </bookViews>
  <sheets>
    <sheet name="1.Summary" sheetId="12" r:id="rId1"/>
    <sheet name="2.Design" sheetId="11" r:id="rId2"/>
    <sheet name="3.Civil土方" sheetId="1" r:id="rId3"/>
  </sheets>
  <definedNames>
    <definedName name="美元汇率">280</definedName>
    <definedName name="人民币汇率">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12" l="1"/>
  <c r="O11" i="12"/>
  <c r="O12" i="12"/>
  <c r="O13" i="12"/>
  <c r="O14" i="12"/>
  <c r="O15" i="12"/>
  <c r="O16" i="12"/>
  <c r="O9" i="12"/>
  <c r="M7" i="12"/>
  <c r="M9" i="12"/>
  <c r="M10" i="12"/>
  <c r="M11" i="12"/>
  <c r="M12" i="12"/>
  <c r="M13" i="12"/>
  <c r="M14" i="12"/>
  <c r="M15" i="12"/>
  <c r="M16" i="12"/>
  <c r="M17" i="12"/>
  <c r="M18" i="12"/>
  <c r="M19" i="12"/>
  <c r="M6" i="12"/>
  <c r="L7" i="12"/>
  <c r="L9" i="12"/>
  <c r="L10" i="12"/>
  <c r="L11" i="12"/>
  <c r="L12" i="12"/>
  <c r="L13" i="12"/>
  <c r="L14" i="12"/>
  <c r="L15" i="12"/>
  <c r="L16" i="12"/>
  <c r="L17" i="12"/>
  <c r="L18" i="12"/>
  <c r="L19" i="12"/>
  <c r="L6" i="12"/>
  <c r="I7" i="1"/>
  <c r="J7" i="1" s="1"/>
  <c r="I9" i="1"/>
  <c r="I10" i="1"/>
  <c r="I11" i="1"/>
  <c r="I12" i="1"/>
  <c r="I15" i="1"/>
  <c r="I16" i="1"/>
  <c r="I17" i="1"/>
  <c r="I18" i="1"/>
  <c r="I21" i="1"/>
  <c r="I22" i="1"/>
  <c r="I23" i="1"/>
  <c r="I24" i="1"/>
  <c r="I6" i="1"/>
  <c r="J6" i="1" s="1"/>
  <c r="H32" i="12"/>
  <c r="H33" i="12"/>
  <c r="H34" i="12"/>
  <c r="H35" i="12"/>
  <c r="H36" i="12"/>
  <c r="H37" i="12"/>
  <c r="H38" i="12"/>
  <c r="H31" i="12"/>
  <c r="G32" i="12"/>
  <c r="G33" i="12"/>
  <c r="G34" i="12"/>
  <c r="G35" i="12"/>
  <c r="G36" i="12"/>
  <c r="G37" i="12"/>
  <c r="G38" i="12"/>
  <c r="G31" i="12"/>
  <c r="F32" i="12"/>
  <c r="F33" i="12"/>
  <c r="F34" i="12"/>
  <c r="F35" i="12"/>
  <c r="F36" i="12"/>
  <c r="F37" i="12"/>
  <c r="F38" i="12"/>
  <c r="F31" i="12"/>
  <c r="G27" i="12"/>
  <c r="G28" i="12"/>
  <c r="G26" i="12"/>
  <c r="F29" i="12"/>
  <c r="F28" i="12"/>
  <c r="F27" i="12"/>
  <c r="F26" i="12"/>
  <c r="K7" i="12"/>
  <c r="K9" i="12"/>
  <c r="K10" i="12"/>
  <c r="K11" i="12"/>
  <c r="K12" i="12"/>
  <c r="K13" i="12"/>
  <c r="K14" i="12"/>
  <c r="K15" i="12"/>
  <c r="K16" i="12"/>
  <c r="K17" i="12"/>
  <c r="K18" i="12"/>
  <c r="K19" i="12"/>
  <c r="K6" i="12"/>
  <c r="E28" i="1"/>
  <c r="D28" i="1"/>
  <c r="E25" i="1"/>
  <c r="D25" i="1"/>
  <c r="E19" i="1"/>
  <c r="D19" i="1"/>
  <c r="E13" i="1"/>
  <c r="D13" i="1"/>
  <c r="G6" i="11"/>
  <c r="F6" i="11"/>
  <c r="G19" i="12"/>
  <c r="G17" i="12"/>
  <c r="G16" i="12"/>
  <c r="F19" i="12"/>
  <c r="F17" i="12"/>
  <c r="F16" i="12"/>
  <c r="G7" i="12"/>
  <c r="F7" i="12"/>
  <c r="J9" i="1" l="1"/>
  <c r="J10" i="1"/>
  <c r="J11" i="1"/>
  <c r="J12" i="1"/>
  <c r="J15" i="1"/>
  <c r="J16" i="1"/>
  <c r="J17" i="1"/>
  <c r="J18" i="1"/>
  <c r="J21" i="1"/>
  <c r="J22" i="1"/>
  <c r="J23" i="1"/>
  <c r="J24" i="1"/>
  <c r="I28" i="1"/>
  <c r="J28" i="1" s="1"/>
  <c r="I25" i="1"/>
  <c r="K24" i="1" s="1"/>
  <c r="I19" i="1"/>
  <c r="K18" i="1" s="1"/>
  <c r="J19" i="1"/>
  <c r="I13" i="1"/>
  <c r="K21" i="1" l="1"/>
  <c r="K22" i="1"/>
  <c r="J25" i="1"/>
  <c r="K23" i="1"/>
  <c r="L25" i="1"/>
  <c r="L19" i="1"/>
  <c r="K15" i="1"/>
  <c r="K16" i="1"/>
  <c r="K17" i="1"/>
  <c r="L13" i="1"/>
  <c r="J13" i="1"/>
  <c r="K9" i="1"/>
  <c r="K10" i="1"/>
  <c r="K11" i="1"/>
  <c r="K12" i="1"/>
</calcChain>
</file>

<file path=xl/sharedStrings.xml><?xml version="1.0" encoding="utf-8"?>
<sst xmlns="http://schemas.openxmlformats.org/spreadsheetml/2006/main" count="117" uniqueCount="92">
  <si>
    <t>Pre- and Post-Conditions survey (Crack survey) of buildings/ structures and critical infrastructure and other facilities within the zone of influence    as    specified    in    E&amp;S documents    &amp;    Employer’s Requirements along the route of laying of pipes through micro-tunnelling    before laying    and    after completion of    laying    of    pipes including    but    not limited to installation, 24-hour monitoring and abandonment of observation wells, probes, sensors and other devices to the satisfaction of all permitting agencies, and implementation of remedial measures and rectification Arrangements related to retrofitting to avoid damages to utility services, private property, persons, animals, or crops, including compensation and remedial measures), (if any), etc in accordance with ER Sub Clause 4.1 &amp; 5.1</t>
    <phoneticPr fontId="2" type="noConversion"/>
  </si>
  <si>
    <t>Item No</t>
  </si>
  <si>
    <t>Description</t>
  </si>
  <si>
    <t>Reference</t>
  </si>
  <si>
    <t>Sub-Activity</t>
  </si>
  <si>
    <t>/ Price</t>
  </si>
  <si>
    <t>PKR</t>
  </si>
  <si>
    <t>FC2</t>
  </si>
  <si>
    <t>FC3</t>
  </si>
  <si>
    <t>Sewerage Conveyance SystemLaying of RCC pipes with micro-tunnelling &amp; manholes</t>
  </si>
  <si>
    <t>3.1</t>
  </si>
  <si>
    <t>3.2</t>
  </si>
  <si>
    <t>Vibration Analysis &amp; monitoring of sensitive receptors i.e. school, over head &amp; underground nearby structures, sensitive buildings, vulnerable structures etc in accordance with ER Sub Clause 4.1 &amp; 5.1</t>
  </si>
  <si>
    <t>3.3</t>
  </si>
  <si>
    <t>Laying of 1050mm pipe with Micro-tunnelling</t>
  </si>
  <si>
    <t>3.3.1</t>
  </si>
  <si>
    <t>Casting of Reinforced Concrete Pipes (6,000 psi or more) having length of approx. 2.44 m with joints provisions on both sides (Employer’s Requirements) including preparation of reinforcement cage, preparation of concrete mix by batching &amp; mixing plant, Pipe casting with HDPE Linning, with vertical spinning machines, steam or water curing,transportation    within    factory, storage, provisions of steel moulds for pipes casting, etc. with provision of holes for injection of bentonite slurry &amp; cement slurry and hooks for lifting in pipes, including Testing and in accordance with ER Sub Clause 4.1 &amp; 5.1, for the following internal diameter: 1,050 mm with approximately length of 9,837 m.</t>
    <phoneticPr fontId="2" type="noConversion"/>
  </si>
  <si>
    <t>3.3.2</t>
  </si>
  <si>
    <t>Laying of the following diameter and length of concrete pipes by micro-tunnelling and pipe jacking method (MTBM) including but not limited to Geological    Radar    Survey transportation and lowering of micro-tunnelling machines at Jacking Shaft &amp; assembling in the shaft, fixing of jacking frame, intermittent jacking, installation of control unit &amp; slurry separation machine, slurry pumps, generators,    removing    micro- tunnelling machine from receiving shaft and transportation again to jacking shaft for second drive, transportation of pipes, handling of pipes, installation of pipe, slurry separation machines, generator for power supply, water supply for slurry other uses, transportation of excavated material at designated location, fixing of pipe hoses, earth filling through bentonite, installation of survey control    points along drive length within    right of way, measurement of settlement at these control points after laying pipes, Drilling water bores for uninterrupted water supply    for construction purposes at each active site &amp; manufacturing    areas, remedial measures (if any), including Testing and Commissioning of all Works and Preparation of Testing and Commissioning    Report and in accordance with ER Sub Clause 4.1 &amp; 5.1 etc. 1,050 mm with approximately length of 9,837 m</t>
  </si>
  <si>
    <t>Drawing No. LW-TD-021 through Drawing No. LW-TD- 069</t>
  </si>
  <si>
    <t>3.3.3</t>
  </si>
  <si>
    <t>Construction of all Jacking Shafts along 1050 mm pipeline using Steel Sheet piles or any other technology (Indicative Numbers and Sizes mentioned    in    Employer’s Requirements,    however    the contractor may revisit the design to determine the numbers and sizes of Jacking Shafts) including but not limited to geological radar survey for identification    and    locating underground utilities, drilling of sheet steel piles, excavation of soil, installation of steel bracing at designed depth inside of shafts, construction of concrete slab in foundation,    construction    &amp; dismantling of two thrust blocks of required sizes, installation of two eyes for micro-tunnelling machine, removing of steel piles after completion of manholes and transportation for installation at another Jacking Shaft, transportation of excavated and dismantled material at designated location, etc. Back filling and compaction of all shafts after completion of micro-tunnelling works including Testing and Commissioning of all Works and Preparation of Testing and Commissioning Report and in accordance with ER Sub Clause 4.1 &amp; 5.1</t>
  </si>
  <si>
    <t>Drawing No. LW-TD-141 through Drawing No. LW-TD-153</t>
  </si>
  <si>
    <t>3.3.4</t>
  </si>
  <si>
    <t>Sub Total for 3.3 (Sum of 3.3.1 to 3.3.4)</t>
  </si>
  <si>
    <t>3.4</t>
  </si>
  <si>
    <t>Laying of 1500mm pipe with Micro-tunnelling</t>
  </si>
  <si>
    <t>3.4.1</t>
  </si>
  <si>
    <t>Casting of Reinforced Concrete Pipes (6,000 psi or more) having length of approx. 2.44 m with joints provisions on both sides (Employer’s Requirements) including preparation of reinforcement cage, preparation of concrete mix by batching &amp; mixing plant, Pipe casting with HDPE Linning, with vertical spinning machines, steam or water curing, transportation    within    factory, storage, provisions of steel moulds for pipes casting, etc. with provision of holes for injection of bentonite slurry &amp; cement slurry and hooks for lifting in pipes, including Testing and in accordance with ER Sub Clause 4.1 &amp; 5.1, for the following internal diameters: 1,500 mm with approximately length of 5,454 m.</t>
  </si>
  <si>
    <t>3.4.2</t>
  </si>
  <si>
    <t>3.4.3</t>
  </si>
  <si>
    <t>3.4.4</t>
  </si>
  <si>
    <t>Sub Total for 3.4 (Sum of 3.4.1 to 3.4.4)</t>
  </si>
  <si>
    <t>3.5</t>
  </si>
  <si>
    <t>Laying of 2400mm pipe with Micro-tunnelling</t>
  </si>
  <si>
    <t>3.5.1</t>
  </si>
  <si>
    <t>Casting of Reinforced Concrete Pipes (6,000 psi or more) having length of approx. 2.44 m with joints provisions on both sides (Employer’s Requirements) including preparation of reinforcement cage, preparation of concrete mix by batching &amp; mixing plant, Pipe casting with HDPE Linning, with vertical spinning machines, steam or water curing, transportation    within    factory, storage, provisions of steel moulds for pipes casting, etc. with provision of holes for injection of bentonite slurry &amp; cement slurry and hooks for lifting in pipes including Testing Report in accordance with ER Sub Clause 4.1 &amp; 5.1 for the following internal diameters: 2,400 mm with approximately length of 11,582 m.</t>
  </si>
  <si>
    <t>3.5.2</t>
  </si>
  <si>
    <t>3.5.3</t>
  </si>
  <si>
    <t>3.5.4</t>
  </si>
  <si>
    <t>Construction of all Receiving Shafts along 2400mm pipeline using Steel Sheet piles or any other technology (Indicative Numbers and Sizes mentioned    in    Employer’s Requirements,    however    the contractor may revisit the design to determine the numbers and sizes of Receiving    Shafts)    including geological radar survey for identification    and    locating underground utilities, drilling of sheet steel piles, excavation of soil, installation bracing of steel elements at designed depth inside of shafts, construction of concrete slab in foundation, installation of two eyes for    micro-tunnelling    machine, removing of steel piles after completion of manholes and transportation for installation at another    Receiving    Shaft, transportation of excavated material at designated location, etc. Back filling and compaction of all shafts after completion of micro-tunnelling works including Testing and Preparation of testing and commissioning report in accordance with ER Sub Clause 4.1 &amp; 5.1</t>
  </si>
  <si>
    <t>Sub Total for 3.5 (Sum of 3.5.1 to 3.5.4)</t>
  </si>
  <si>
    <t>Any other items</t>
  </si>
  <si>
    <t>3.41</t>
  </si>
  <si>
    <t>To be specified by the Tenderer (if any)</t>
  </si>
  <si>
    <t>Construction of all Receiving Shafts along 1050mm pipeline using Steel Sheet piles or any other technology (Indicative Numbers and Sizes mentioned    in    Employer’s Requirements,    however    the contractor may revisit the design to determine the numbers and sizes of Receiving    Shafts)    including geological radar survey for identification    and    locating underground utilities, drilling of sheet steel piles, excavation of soil, installation of steel bracing at designed depth inside of shafts, construction of concrete slab in foundation, installation of two eyes for    micro-tunnelling    machine, removing of steel piles    after completion of manholes and transportation for installation at another    Receiving    Shaft, transportation of excavated material at designated location, etc. Back filling and compaction of all shafts after completion of    micro- tunnelling works including Testing and Commissioning of all Works and Preparation of Testing    and Commissioning    Report    in accordance with ER Sub Clause 4.1 &amp; 5.1.</t>
    <phoneticPr fontId="2" type="noConversion"/>
  </si>
  <si>
    <t>Construction of all Receiving Shafts along 1500mm pipeline using Steel Sheet piles or any other technology (Indicative Numbers and Sizes mentioned    in    Employer’s Requirements,    however    the contractor may revisit the design to determine the numbers and sizes of Receiving    Shafts)    including geological radar survey for identification    and    locating underground utilities, drilling of sheet steel piles, excavation of soil, installation of steel bracing at designed depth inside of shafts, construction of concrete slab in foundation, installation of two eyes for    micro-tunnelling    machine, removing of steel piles after completion of manholes and transportation for installation at another    Receiving    Shaft, transportation of excavated material at designated location, etc. Back filling and compaction of all shafts after completion of micro-tunnelling works including Testing and Preparation of testing and commissioning report in accordance with ER Sub Clause 4.1 &amp; 5.1</t>
    <phoneticPr fontId="2" type="noConversion"/>
  </si>
  <si>
    <t>Laying of the following diameter and length of concrete pipes by micro-tunnelling and pipe jacking method (MTBM) including but not limited to transportation and lowering of micro-tunnelling machines at Jacking Shaft &amp; assembling in the shaft, fixing of jacking frame,    intermittent jacking, Construction    of Thrust    Block, installation of control unit &amp; slurry separation machine, slurry pumps, generators,    removing    micro- tunnelling machine from receiving shaft and transportation again to jacking shaft    for second drive, transportation of pipes, handling of pipes, installation of pipe, slurry separation machines, generator for power supply, Drilling water bores for uninterrupted water supply for construction purposes at each active site &amp; manufacturing areas in accordance with ER Sub Clause 4.1 ,4.19 &amp; 5.1 and for slurry other uses, transportation of excavated material at designated location, fixing of pipe hoses, earth filling through bentonite, installation of survey control points along drive length within right of way, measurement of settlement at these control points after laying pipes, remedial measures including Testing and Preparation of testing and commissioning report in accordance with ER Sub Clause 4.1 &amp; 5.1 (if any), etc. 2,400 mm with approximately length of 11,582 m.</t>
    <phoneticPr fontId="2" type="noConversion"/>
  </si>
  <si>
    <t>Construction of all Jacking Shafts along 2400mm pipeline using Steel Sheet piles or any other technology (Indicative Numbers and Sizes mentioned    in    Employer’s Requirements,    however    the contractor may revisit the design to determine the numbers and sizes of Jacking Shafts) including but not limited to geological radar survey for identification    and    locating underground utilities, drilling of sheet steel piles, excavation of soil, installation bracing of steel elements at designed depth inside of shafts, construction of concrete slab in foundation,    construction    &amp; dismantling of two thrust blocks of required sizes, installation of two eyes for micro-tunnelling machine, removing of steel piles after completion of manholes and transportation for installation at another Jacking Shaft, transportation of excavated and dismantled material at designated location, etc. Back filling and compaction of all shafts after completion of micro-tunnelling works including Testing and Preparation of testing and commissioning report in accordance with ER Sub Clause 4.1 &amp; 5.1</t>
    <phoneticPr fontId="2" type="noConversion"/>
  </si>
  <si>
    <t>Total for Schedule No 3 (to be carried forward to Schedule No 1)- Inclusive of Taxes Duties and
Miscellaneous charges</t>
    <phoneticPr fontId="2" type="noConversion"/>
  </si>
  <si>
    <t>Schedule No. 3: Civil Works</t>
    <phoneticPr fontId="2" type="noConversion"/>
  </si>
  <si>
    <t>Construction of all Jacking Shafts along 1500mm pipeline using Steel Sheet piles or any other technology (Indicative Numbers and Sizes mentioned    in    Employer’s Requirements,    however    the contractor may revisit the design to determine the numbers and sizes of Jacking Shafts) including but not limited to geological radar survey for identification    and    locating underground utilities, drilling of sheet steel piles, excavation of soil, installation of steel bracing at designed depth inside of shafts, construction of concrete slab in foundation,    construction    &amp; dismantling of two thrust blocks of required sizes, installation of two eyes for micro-tunnelling machine, removing of steel piles after completion of manholes and transportation for installation at another Jacking Shaft, transportation of excavated and dismantled material at designated location, etc. Back filling and compaction of all shafts after completion of micro-tunnelling works including Testing and Preparation of testing and commissioning report in accordance with ER Sub Clause 4.1 &amp; 5.1</t>
    <phoneticPr fontId="2" type="noConversion"/>
  </si>
  <si>
    <t>Laying of the following diameter and length of concrete pipes by micro-tunnelling and pipe jacking method (MTBM) including but not limited to transportation and lowering of micro-tunnelling machines at Jacking Shaft &amp; assembling in the shaft, fixing of jacking frame, including but not limited to geological radar survey, intermittent jacking, installation of control unit &amp; slurry separation machine, slurry pumps, generators, removing micro-tunnelling machine from    receiving    shaft    and transportation again to jacking shaft for second drive, transportation of pipes, handling of pipes, installation of pipe, slurry separation machines, generator for power supply, Drilling water bores for uninterrupted water supply for construction purposes at each active site &amp; manufacturing areas in accordance with ER Sub Clause 4.1 , 4.19 &amp; 5.1 and water supply for slurry other uses, transportation of excavated material at designated location, fixing of pipe hoses, earth filling through bentonite, installation of survey control points along drive length within right of way, measurement of settlement at these control points after laying pipes, remedial measures (if any), including Testing and Commissioning and Preparation of Testing and Commissioning Report and in accordance with ER Sub Clause 4.1 &amp; 5.1. 1,500 mm with approximately length of 5,454 m.</t>
    <phoneticPr fontId="2" type="noConversion"/>
  </si>
  <si>
    <t>Drawing No. LW-TD-021 through Drawing No. LW-TD- 069</t>
    <phoneticPr fontId="2" type="noConversion"/>
  </si>
  <si>
    <t>Detailed Design:
Preparation of following documents &amp; performing related activities as per Employers Requirement including but not limited to:
2.1.1 Inception Report
2.2.1Design Review Report
2.2.2. Equipment made available at site/ work methodology prepared for Detailed Field Investigations during Design, such as:
•Topographic survey,
•Geotechnical Investigations,
•Bathymetric survey,
•Hydrographic Survey,
•Ground Penetration Radar Survey for Existing Utilities Survey,
•Drone Survey,
•Environmental baseline monitoring,
•any other field investigations
2.2.3. Field Investigations teams mobilized
2.3.1 Field Investigations Report
2.4.1 Stage-I Detailed Design Report
2.5.1 Stage-II Detailed Design Report
2.6.1 ESHS Reports &amp; Plans and Implementations during design phase as per ER.
2.7.1 Work Program, Method Statements, Quality Management &amp; Assurance Plan, Safety and Security Plan, Environment and Social Management Plan
2.8. Field Investigations during Construction phase
2.9. As Built Drawings Approved
2.10. O&amp;M Manual Approved
2.11. Provision of licensed Software’s, Hi-Tech Computers, Hi-Tech Laptops, Hi-Tech Mobile Phones etc. as per Employer ‘s Requirements and in accordance with ER Sub Clause 4.1 &amp; 6.6
2.12. Training and Capacity Building for PMU and WASA Staff as per Employer’s Requirement
2.13. Any other Activity
To be specified by the Tenderer (if any)</t>
    <phoneticPr fontId="2" type="noConversion"/>
  </si>
  <si>
    <t>Total for Schedule No 2 (to be carried forward to Schedule No 1)- Inclusive of Taxes Duties and Miscellaneous charges</t>
  </si>
  <si>
    <t>A.Detailed Design</t>
    <phoneticPr fontId="2" type="noConversion"/>
  </si>
  <si>
    <t>Schedule No 2: Detailed Design including Field Investigations and Capacity Building</t>
    <phoneticPr fontId="2" type="noConversion"/>
  </si>
  <si>
    <t>Total Detailed Design (Sum Item No. 1)</t>
    <phoneticPr fontId="2" type="noConversion"/>
  </si>
  <si>
    <t>A</t>
    <phoneticPr fontId="2" type="noConversion"/>
  </si>
  <si>
    <t>B.Construction Works</t>
    <phoneticPr fontId="2" type="noConversion"/>
  </si>
  <si>
    <t>B</t>
    <phoneticPr fontId="2" type="noConversion"/>
  </si>
  <si>
    <t>Schedule No 3: Civil Works</t>
    <phoneticPr fontId="2" type="noConversion"/>
  </si>
  <si>
    <t>Schedule No 4: Mechanical Works</t>
    <phoneticPr fontId="2" type="noConversion"/>
  </si>
  <si>
    <t>Schedule No 5: Electrical Works</t>
    <phoneticPr fontId="2" type="noConversion"/>
  </si>
  <si>
    <t>Schedule No 6: SCADA System Works</t>
    <phoneticPr fontId="2" type="noConversion"/>
  </si>
  <si>
    <t>Schedule No 7: Erection, Testing and Commissioning</t>
    <phoneticPr fontId="2" type="noConversion"/>
  </si>
  <si>
    <t>Schedule No 8: ESHS</t>
    <phoneticPr fontId="2" type="noConversion"/>
  </si>
  <si>
    <t>Schedule No 9: Daywork Schedule</t>
    <phoneticPr fontId="2" type="noConversion"/>
  </si>
  <si>
    <t>Total Construction Works
(Sum Item No. 2 to 8)</t>
    <phoneticPr fontId="2" type="noConversion"/>
  </si>
  <si>
    <t>TOTAL TENDER PRICE (A+B)</t>
    <phoneticPr fontId="2" type="noConversion"/>
  </si>
  <si>
    <t>C</t>
  </si>
  <si>
    <t>Schedule No 10: Provisional Sum</t>
  </si>
  <si>
    <t>GRAND TOTAL (A+B+C)</t>
    <phoneticPr fontId="2" type="noConversion"/>
  </si>
  <si>
    <t>Schedule No. 2: Detailed Design including Field Investigations and Capacity Building</t>
    <phoneticPr fontId="2" type="noConversion"/>
  </si>
  <si>
    <t>Schedule No. 1: Grand Summary</t>
  </si>
  <si>
    <t>USD</t>
    <phoneticPr fontId="2" type="noConversion"/>
  </si>
  <si>
    <t>USD</t>
  </si>
  <si>
    <t>合计</t>
    <phoneticPr fontId="2" type="noConversion"/>
  </si>
  <si>
    <t>设计</t>
    <phoneticPr fontId="2" type="noConversion"/>
  </si>
  <si>
    <t>施工</t>
    <phoneticPr fontId="2" type="noConversion"/>
  </si>
  <si>
    <t>暂列</t>
    <phoneticPr fontId="2" type="noConversion"/>
  </si>
  <si>
    <t>土方</t>
    <phoneticPr fontId="2" type="noConversion"/>
  </si>
  <si>
    <t>机械</t>
    <phoneticPr fontId="2" type="noConversion"/>
  </si>
  <si>
    <t>电力</t>
    <phoneticPr fontId="2" type="noConversion"/>
  </si>
  <si>
    <t>监控及采集系统</t>
    <phoneticPr fontId="2" type="noConversion"/>
  </si>
  <si>
    <t xml:space="preserve"> ESHS</t>
  </si>
  <si>
    <t>计日工</t>
    <phoneticPr fontId="2" type="noConversion"/>
  </si>
  <si>
    <t>安装、试验、调试</t>
    <phoneticPr fontId="2" type="noConversion"/>
  </si>
  <si>
    <t>施工小计</t>
    <phoneticPr fontId="2" type="noConversion"/>
  </si>
  <si>
    <t>PKR</t>
    <phoneticPr fontId="2" type="noConversion"/>
  </si>
  <si>
    <t>CNY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</si>
</sst>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1" x14ac:knownFonts="1">
    <font>
      <sz val="10"/>
      <name val="Arial"/>
    </font>
    <font>
      <sz val="11"/>
      <color theme="1"/>
      <name val="等线"/>
      <family val="2"/>
      <scheme val="minor"/>
    </font>
    <font>
      <sz val="9"/>
      <name val="宋体"/>
      <family val="3"/>
      <charset val="134"/>
    </font>
    <font>
      <b/>
      <sz val="10"/>
      <name val="Arial"/>
      <family val="2"/>
    </font>
    <font>
      <sz val="10"/>
      <name val="Arial"/>
      <family val="2"/>
    </font>
    <font>
      <b/>
      <sz val="10"/>
      <color rgb="FFFF0000"/>
      <name val="Arial"/>
      <family val="2"/>
    </font>
    <font>
      <sz val="10"/>
      <color rgb="FFFF0000"/>
      <name val="Arial"/>
      <family val="2"/>
    </font>
    <font>
      <b/>
      <sz val="11"/>
      <color rgb="FFFF0000"/>
      <name val="Arial"/>
      <family val="2"/>
    </font>
    <font>
      <sz val="10"/>
      <name val="宋体"/>
      <family val="3"/>
      <charset val="134"/>
    </font>
    <font>
      <sz val="10"/>
      <name val="等线"/>
      <family val="3"/>
      <charset val="134"/>
      <scheme val="minor"/>
    </font>
    <font>
      <sz val="10"/>
      <name val="华文细黑"/>
      <family val="3"/>
      <charset val="134"/>
    </font>
  </fonts>
  <fills count="2">
    <fill>
      <patternFill patternType="none"/>
    </fill>
    <fill>
      <patternFill patternType="gray125"/>
    </fill>
  </fills>
  <borders count="12">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indexed="64"/>
      </right>
      <top style="medium">
        <color auto="1"/>
      </top>
      <bottom style="thin">
        <color auto="1"/>
      </bottom>
      <diagonal/>
    </border>
    <border>
      <left style="medium">
        <color indexed="64"/>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s>
  <cellStyleXfs count="3">
    <xf numFmtId="0" fontId="0" fillId="0" borderId="0">
      <alignment vertical="center"/>
    </xf>
    <xf numFmtId="0" fontId="1" fillId="0" borderId="2"/>
    <xf numFmtId="0" fontId="4" fillId="0" borderId="2">
      <alignment vertical="center"/>
    </xf>
  </cellStyleXfs>
  <cellXfs count="63">
    <xf numFmtId="0" fontId="0" fillId="0" borderId="0" xfId="0">
      <alignment vertical="center"/>
    </xf>
    <xf numFmtId="0" fontId="4" fillId="0" borderId="0" xfId="0" applyFont="1">
      <alignment vertical="center"/>
    </xf>
    <xf numFmtId="0" fontId="7" fillId="0" borderId="1" xfId="0" applyFont="1" applyBorder="1">
      <alignment vertical="center"/>
    </xf>
    <xf numFmtId="0" fontId="4" fillId="0" borderId="3" xfId="0" applyFont="1" applyBorder="1" applyAlignment="1">
      <alignment horizontal="left" vertical="center"/>
    </xf>
    <xf numFmtId="0" fontId="4" fillId="0" borderId="3" xfId="0" applyFont="1" applyBorder="1" applyAlignment="1">
      <alignment horizontal="center" vertical="center"/>
    </xf>
    <xf numFmtId="0" fontId="5" fillId="0" borderId="3"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3" xfId="0" applyFont="1" applyBorder="1" applyAlignment="1">
      <alignment horizontal="center" vertical="center" wrapText="1"/>
    </xf>
    <xf numFmtId="0" fontId="6" fillId="0" borderId="3" xfId="0" applyFont="1" applyBorder="1" applyAlignment="1">
      <alignment horizontal="left" vertical="center"/>
    </xf>
    <xf numFmtId="0" fontId="6" fillId="0" borderId="3" xfId="0" applyFont="1" applyBorder="1" applyAlignment="1">
      <alignment horizontal="center" vertical="center"/>
    </xf>
    <xf numFmtId="0" fontId="3" fillId="0" borderId="3" xfId="0" applyFont="1" applyBorder="1" applyAlignment="1">
      <alignment horizontal="left" vertical="center"/>
    </xf>
    <xf numFmtId="0" fontId="3" fillId="0" borderId="3" xfId="0" applyFont="1" applyBorder="1" applyAlignment="1">
      <alignment horizontal="justify" vertical="center" wrapText="1"/>
    </xf>
    <xf numFmtId="0" fontId="4" fillId="0" borderId="3" xfId="0" applyFont="1" applyBorder="1" applyAlignment="1">
      <alignment vertical="center" wrapText="1"/>
    </xf>
    <xf numFmtId="0" fontId="5" fillId="0" borderId="3" xfId="0" applyFont="1" applyBorder="1" applyAlignment="1">
      <alignment horizontal="justify" vertical="center"/>
    </xf>
    <xf numFmtId="0" fontId="0" fillId="0" borderId="3" xfId="0" applyBorder="1">
      <alignment vertical="center"/>
    </xf>
    <xf numFmtId="176" fontId="0" fillId="0" borderId="0" xfId="0" applyNumberFormat="1">
      <alignment vertical="center"/>
    </xf>
    <xf numFmtId="177" fontId="4" fillId="0" borderId="3" xfId="0" applyNumberFormat="1" applyFont="1" applyBorder="1">
      <alignment vertical="center"/>
    </xf>
    <xf numFmtId="177" fontId="0" fillId="0" borderId="3" xfId="0" applyNumberFormat="1" applyBorder="1">
      <alignment vertical="center"/>
    </xf>
    <xf numFmtId="177" fontId="4" fillId="0" borderId="3" xfId="0" applyNumberFormat="1" applyFont="1" applyBorder="1" applyAlignment="1">
      <alignment vertical="center" wrapText="1"/>
    </xf>
    <xf numFmtId="0" fontId="4" fillId="0" borderId="5" xfId="0" applyFont="1" applyBorder="1" applyAlignment="1">
      <alignment horizontal="left" vertical="center"/>
    </xf>
    <xf numFmtId="177" fontId="0" fillId="0" borderId="5" xfId="0" applyNumberFormat="1" applyBorder="1">
      <alignment vertical="center"/>
    </xf>
    <xf numFmtId="177" fontId="0" fillId="0" borderId="9" xfId="0" applyNumberFormat="1" applyBorder="1">
      <alignment vertical="center"/>
    </xf>
    <xf numFmtId="177" fontId="4" fillId="0" borderId="10" xfId="0" applyNumberFormat="1" applyFont="1" applyBorder="1">
      <alignment vertical="center"/>
    </xf>
    <xf numFmtId="177" fontId="0" fillId="0" borderId="10" xfId="0" applyNumberFormat="1" applyBorder="1">
      <alignment vertical="center"/>
    </xf>
    <xf numFmtId="177" fontId="0" fillId="0" borderId="11" xfId="0" applyNumberFormat="1" applyBorder="1">
      <alignment vertical="center"/>
    </xf>
    <xf numFmtId="3" fontId="0" fillId="0" borderId="3" xfId="0" applyNumberFormat="1" applyBorder="1">
      <alignment vertical="center"/>
    </xf>
    <xf numFmtId="3" fontId="0" fillId="0" borderId="10" xfId="0" applyNumberFormat="1" applyBorder="1">
      <alignment vertical="center"/>
    </xf>
    <xf numFmtId="3" fontId="4" fillId="0" borderId="3" xfId="0" applyNumberFormat="1" applyFont="1" applyBorder="1" applyAlignment="1">
      <alignment horizontal="left" vertical="center"/>
    </xf>
    <xf numFmtId="0" fontId="0" fillId="0" borderId="5" xfId="0" applyBorder="1">
      <alignment vertical="center"/>
    </xf>
    <xf numFmtId="0" fontId="0" fillId="0" borderId="10" xfId="0" applyBorder="1">
      <alignment vertical="center"/>
    </xf>
    <xf numFmtId="0" fontId="0" fillId="0" borderId="11" xfId="0" applyBorder="1">
      <alignment vertical="center"/>
    </xf>
    <xf numFmtId="0" fontId="0" fillId="0" borderId="4" xfId="0" applyBorder="1" applyAlignment="1">
      <alignment horizontal="center" vertical="center"/>
    </xf>
    <xf numFmtId="177" fontId="0" fillId="0" borderId="4" xfId="0" applyNumberFormat="1" applyBorder="1" applyAlignment="1">
      <alignment horizontal="center" vertical="center"/>
    </xf>
    <xf numFmtId="177" fontId="4" fillId="0" borderId="4" xfId="0" applyNumberFormat="1" applyFont="1" applyBorder="1" applyAlignment="1">
      <alignment horizontal="center" vertical="center"/>
    </xf>
    <xf numFmtId="0" fontId="8" fillId="0" borderId="0" xfId="0" applyFont="1">
      <alignment vertical="center"/>
    </xf>
    <xf numFmtId="0" fontId="9" fillId="0" borderId="0" xfId="0" applyFont="1">
      <alignment vertical="center"/>
    </xf>
    <xf numFmtId="10" fontId="0" fillId="0" borderId="0" xfId="0" applyNumberFormat="1">
      <alignment vertical="center"/>
    </xf>
    <xf numFmtId="9" fontId="4" fillId="0" borderId="0" xfId="0" applyNumberFormat="1" applyFont="1">
      <alignment vertical="center"/>
    </xf>
    <xf numFmtId="10" fontId="4" fillId="0" borderId="0" xfId="0" applyNumberFormat="1" applyFont="1">
      <alignment vertical="center"/>
    </xf>
    <xf numFmtId="0" fontId="5" fillId="0" borderId="3" xfId="0" applyFont="1" applyBorder="1" applyAlignment="1">
      <alignment horizontal="center" vertical="center"/>
    </xf>
    <xf numFmtId="0" fontId="4" fillId="0" borderId="0" xfId="0" applyFont="1" applyAlignment="1">
      <alignment horizontal="center" vertical="center"/>
    </xf>
    <xf numFmtId="176" fontId="3" fillId="0" borderId="0" xfId="0" applyNumberFormat="1" applyFont="1">
      <alignment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10" fillId="0" borderId="0" xfId="0" applyFont="1" applyAlignment="1">
      <alignment horizontal="center" vertical="center"/>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177" fontId="4" fillId="0" borderId="4" xfId="0" applyNumberFormat="1" applyFont="1" applyBorder="1" applyAlignment="1">
      <alignment horizontal="left" vertical="center" wrapText="1"/>
    </xf>
    <xf numFmtId="177" fontId="4" fillId="0" borderId="3" xfId="0" applyNumberFormat="1" applyFont="1" applyBorder="1" applyAlignment="1">
      <alignment horizontal="left" vertical="center" wrapText="1"/>
    </xf>
    <xf numFmtId="177" fontId="4" fillId="0" borderId="5" xfId="0" applyNumberFormat="1" applyFont="1" applyBorder="1" applyAlignment="1">
      <alignment horizontal="left" vertical="center" wrapText="1"/>
    </xf>
    <xf numFmtId="0" fontId="4" fillId="0" borderId="6" xfId="0" applyFont="1" applyBorder="1" applyAlignment="1">
      <alignment horizontal="left" vertical="center"/>
    </xf>
    <xf numFmtId="0" fontId="4" fillId="0" borderId="4" xfId="0" applyFont="1" applyBorder="1" applyAlignment="1">
      <alignment horizontal="left" vertic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left" vertical="center"/>
    </xf>
    <xf numFmtId="0" fontId="4" fillId="0" borderId="3" xfId="0" applyFont="1" applyBorder="1" applyAlignment="1">
      <alignment horizontal="left" vertical="center"/>
    </xf>
    <xf numFmtId="0" fontId="4" fillId="0" borderId="7" xfId="0" applyFont="1" applyBorder="1" applyAlignment="1">
      <alignment horizontal="right" vertical="center"/>
    </xf>
    <xf numFmtId="0" fontId="4" fillId="0" borderId="8"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4" fillId="0" borderId="3" xfId="0" applyFont="1" applyBorder="1" applyAlignment="1">
      <alignment horizontal="right" vertical="center"/>
    </xf>
    <xf numFmtId="0" fontId="5" fillId="0" borderId="3" xfId="0" applyFont="1" applyBorder="1" applyAlignment="1">
      <alignment horizontal="center" vertical="center" wrapText="1"/>
    </xf>
  </cellXfs>
  <cellStyles count="3">
    <cellStyle name="常规" xfId="0" builtinId="0"/>
    <cellStyle name="常规 2" xfId="1" xr:uid="{E892ACAA-FC5A-4F11-AA16-1BCBC316239A}"/>
    <cellStyle name="常规 3" xfId="2" xr:uid="{0671CB68-11D1-406D-8AB2-BCC790B1D6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30841-A3C0-4BCD-BF4E-350716C3CDD0}">
  <dimension ref="B1:O38"/>
  <sheetViews>
    <sheetView tabSelected="1" topLeftCell="F1" zoomScale="115" zoomScaleNormal="115" workbookViewId="0">
      <selection activeCell="M36" sqref="M36"/>
    </sheetView>
  </sheetViews>
  <sheetFormatPr defaultRowHeight="12.75" x14ac:dyDescent="0.2"/>
  <cols>
    <col min="2" max="2" width="9.28515625" bestFit="1" customWidth="1"/>
    <col min="3" max="3" width="50" customWidth="1"/>
    <col min="4" max="4" width="10.85546875" customWidth="1"/>
    <col min="6" max="6" width="15.5703125" bestFit="1" customWidth="1"/>
    <col min="7" max="7" width="11.5703125" bestFit="1" customWidth="1"/>
    <col min="8" max="8" width="8" bestFit="1" customWidth="1"/>
    <col min="11" max="11" width="15.5703125" bestFit="1" customWidth="1"/>
    <col min="12" max="12" width="14.140625" customWidth="1"/>
    <col min="13" max="13" width="16" customWidth="1"/>
    <col min="15" max="15" width="13" bestFit="1" customWidth="1"/>
  </cols>
  <sheetData>
    <row r="1" spans="2:15" x14ac:dyDescent="0.2">
      <c r="B1" t="s">
        <v>75</v>
      </c>
    </row>
    <row r="2" spans="2:15" ht="13.5" thickBot="1" x14ac:dyDescent="0.25"/>
    <row r="3" spans="2:15" ht="14.25" x14ac:dyDescent="0.2">
      <c r="B3" s="51" t="s">
        <v>1</v>
      </c>
      <c r="C3" s="53" t="s">
        <v>2</v>
      </c>
      <c r="D3" s="53"/>
      <c r="E3" s="55" t="s">
        <v>3</v>
      </c>
      <c r="F3" s="57" t="s">
        <v>4</v>
      </c>
      <c r="G3" s="57"/>
      <c r="H3" s="55" t="s">
        <v>5</v>
      </c>
      <c r="I3" s="58"/>
      <c r="K3" s="44"/>
      <c r="L3" s="44"/>
      <c r="M3" s="44"/>
      <c r="O3" s="34"/>
    </row>
    <row r="4" spans="2:15" x14ac:dyDescent="0.2">
      <c r="B4" s="52"/>
      <c r="C4" s="54"/>
      <c r="D4" s="54"/>
      <c r="E4" s="56"/>
      <c r="F4" s="4" t="s">
        <v>6</v>
      </c>
      <c r="G4" s="4" t="s">
        <v>76</v>
      </c>
      <c r="H4" s="4" t="s">
        <v>7</v>
      </c>
      <c r="I4" s="43" t="s">
        <v>8</v>
      </c>
      <c r="K4" s="42" t="s">
        <v>90</v>
      </c>
      <c r="L4" s="40" t="s">
        <v>76</v>
      </c>
      <c r="M4" s="40" t="s">
        <v>91</v>
      </c>
      <c r="O4" s="42" t="s">
        <v>91</v>
      </c>
    </row>
    <row r="5" spans="2:15" x14ac:dyDescent="0.2">
      <c r="B5" s="45" t="s">
        <v>56</v>
      </c>
      <c r="C5" s="46"/>
      <c r="D5" s="46"/>
      <c r="E5" s="46"/>
      <c r="F5" s="46"/>
      <c r="G5" s="46"/>
      <c r="H5" s="46"/>
      <c r="I5" s="47"/>
    </row>
    <row r="6" spans="2:15" x14ac:dyDescent="0.2">
      <c r="B6" s="32">
        <v>1</v>
      </c>
      <c r="C6" s="16" t="s">
        <v>57</v>
      </c>
      <c r="D6" s="17"/>
      <c r="E6" s="17"/>
      <c r="F6" s="25">
        <v>146786066</v>
      </c>
      <c r="G6" s="25">
        <v>4718126</v>
      </c>
      <c r="H6" s="17"/>
      <c r="I6" s="20"/>
      <c r="K6" s="15">
        <f>F6+G6*美元汇率</f>
        <v>1467861346</v>
      </c>
      <c r="L6" s="15">
        <f>K6/美元汇率</f>
        <v>5242361.95</v>
      </c>
      <c r="M6" s="15">
        <f>K6/人民币汇率</f>
        <v>36696533.649999999</v>
      </c>
    </row>
    <row r="7" spans="2:15" x14ac:dyDescent="0.2">
      <c r="B7" s="33" t="s">
        <v>59</v>
      </c>
      <c r="C7" s="18" t="s">
        <v>58</v>
      </c>
      <c r="D7" s="17"/>
      <c r="E7" s="17"/>
      <c r="F7" s="25">
        <f>F6</f>
        <v>146786066</v>
      </c>
      <c r="G7" s="25">
        <f>G6</f>
        <v>4718126</v>
      </c>
      <c r="H7" s="17"/>
      <c r="I7" s="20"/>
      <c r="K7" s="41">
        <f t="shared" ref="K7:K19" si="0">F7+G7*美元汇率</f>
        <v>1467861346</v>
      </c>
      <c r="L7" s="41">
        <f t="shared" ref="L7:L19" si="1">K7/美元汇率</f>
        <v>5242361.95</v>
      </c>
      <c r="M7" s="41">
        <f t="shared" ref="M7:M19" si="2">K7/人民币汇率</f>
        <v>36696533.649999999</v>
      </c>
    </row>
    <row r="8" spans="2:15" x14ac:dyDescent="0.2">
      <c r="B8" s="48" t="s">
        <v>60</v>
      </c>
      <c r="C8" s="49"/>
      <c r="D8" s="49"/>
      <c r="E8" s="49"/>
      <c r="F8" s="49"/>
      <c r="G8" s="49"/>
      <c r="H8" s="49"/>
      <c r="I8" s="50"/>
      <c r="K8" s="15"/>
      <c r="L8" s="15"/>
      <c r="M8" s="15"/>
    </row>
    <row r="9" spans="2:15" x14ac:dyDescent="0.2">
      <c r="B9" s="32">
        <v>2</v>
      </c>
      <c r="C9" s="16" t="s">
        <v>62</v>
      </c>
      <c r="D9" s="17"/>
      <c r="E9" s="17"/>
      <c r="F9" s="25">
        <v>22499562909</v>
      </c>
      <c r="G9" s="25">
        <v>65323609</v>
      </c>
      <c r="H9" s="17"/>
      <c r="I9" s="20"/>
      <c r="K9" s="15">
        <f t="shared" si="0"/>
        <v>40790173429</v>
      </c>
      <c r="L9" s="15">
        <f t="shared" si="1"/>
        <v>145679190.81785715</v>
      </c>
      <c r="M9" s="15">
        <f t="shared" si="2"/>
        <v>1019754335.725</v>
      </c>
      <c r="O9" s="15">
        <f>M9/1.377335423</f>
        <v>740381985.89553022</v>
      </c>
    </row>
    <row r="10" spans="2:15" x14ac:dyDescent="0.2">
      <c r="B10" s="32">
        <v>3</v>
      </c>
      <c r="C10" s="16" t="s">
        <v>63</v>
      </c>
      <c r="D10" s="17"/>
      <c r="E10" s="17"/>
      <c r="F10" s="25">
        <v>1297437353</v>
      </c>
      <c r="G10" s="25">
        <v>0</v>
      </c>
      <c r="H10" s="17"/>
      <c r="I10" s="20"/>
      <c r="K10" s="15">
        <f t="shared" si="0"/>
        <v>1297437353</v>
      </c>
      <c r="L10" s="15">
        <f t="shared" si="1"/>
        <v>4633704.8321428569</v>
      </c>
      <c r="M10" s="15">
        <f t="shared" si="2"/>
        <v>32435933.824999999</v>
      </c>
      <c r="O10" s="15">
        <f t="shared" ref="O10:O16" si="3">M10/1.377335423</f>
        <v>23549771.016816434</v>
      </c>
    </row>
    <row r="11" spans="2:15" x14ac:dyDescent="0.2">
      <c r="B11" s="32">
        <v>4</v>
      </c>
      <c r="C11" s="16" t="s">
        <v>64</v>
      </c>
      <c r="D11" s="17"/>
      <c r="E11" s="17"/>
      <c r="F11" s="25">
        <v>566869292</v>
      </c>
      <c r="G11" s="25">
        <v>867655</v>
      </c>
      <c r="H11" s="17"/>
      <c r="I11" s="20"/>
      <c r="K11" s="15">
        <f t="shared" si="0"/>
        <v>809812692</v>
      </c>
      <c r="L11" s="15">
        <f t="shared" si="1"/>
        <v>2892188.1857142858</v>
      </c>
      <c r="M11" s="15">
        <f t="shared" si="2"/>
        <v>20245317.300000001</v>
      </c>
      <c r="O11" s="15">
        <f t="shared" si="3"/>
        <v>14698901.198593512</v>
      </c>
    </row>
    <row r="12" spans="2:15" x14ac:dyDescent="0.2">
      <c r="B12" s="32">
        <v>5</v>
      </c>
      <c r="C12" s="16" t="s">
        <v>65</v>
      </c>
      <c r="D12" s="17"/>
      <c r="E12" s="17"/>
      <c r="F12" s="25">
        <v>39951627</v>
      </c>
      <c r="G12" s="25">
        <v>61152</v>
      </c>
      <c r="H12" s="17"/>
      <c r="I12" s="20"/>
      <c r="K12" s="15">
        <f t="shared" si="0"/>
        <v>57074187</v>
      </c>
      <c r="L12" s="15">
        <f t="shared" si="1"/>
        <v>203836.38214285715</v>
      </c>
      <c r="M12" s="15">
        <f t="shared" si="2"/>
        <v>1426854.675</v>
      </c>
      <c r="O12" s="15">
        <f t="shared" si="3"/>
        <v>1035952.9357722764</v>
      </c>
    </row>
    <row r="13" spans="2:15" x14ac:dyDescent="0.2">
      <c r="B13" s="32">
        <v>6</v>
      </c>
      <c r="C13" s="16" t="s">
        <v>66</v>
      </c>
      <c r="D13" s="17"/>
      <c r="E13" s="17"/>
      <c r="F13" s="25">
        <v>42560000</v>
      </c>
      <c r="G13" s="25">
        <v>65145</v>
      </c>
      <c r="H13" s="17"/>
      <c r="I13" s="20"/>
      <c r="K13" s="15">
        <f t="shared" si="0"/>
        <v>60800600</v>
      </c>
      <c r="L13" s="15">
        <f t="shared" si="1"/>
        <v>217145</v>
      </c>
      <c r="M13" s="15">
        <f t="shared" si="2"/>
        <v>1520015</v>
      </c>
      <c r="O13" s="15">
        <f t="shared" si="3"/>
        <v>1103591.0168412188</v>
      </c>
    </row>
    <row r="14" spans="2:15" x14ac:dyDescent="0.2">
      <c r="B14" s="32">
        <v>7</v>
      </c>
      <c r="C14" s="16" t="s">
        <v>67</v>
      </c>
      <c r="D14" s="17"/>
      <c r="E14" s="17"/>
      <c r="F14" s="25">
        <v>30729020</v>
      </c>
      <c r="G14" s="25">
        <v>208901</v>
      </c>
      <c r="H14" s="17"/>
      <c r="I14" s="20"/>
      <c r="K14" s="15">
        <f t="shared" si="0"/>
        <v>89221300</v>
      </c>
      <c r="L14" s="15">
        <f t="shared" si="1"/>
        <v>318647.5</v>
      </c>
      <c r="M14" s="15">
        <f t="shared" si="2"/>
        <v>2230532.5</v>
      </c>
      <c r="O14" s="15">
        <f t="shared" si="3"/>
        <v>1619454.8275986656</v>
      </c>
    </row>
    <row r="15" spans="2:15" x14ac:dyDescent="0.2">
      <c r="B15" s="32">
        <v>8</v>
      </c>
      <c r="C15" s="16" t="s">
        <v>68</v>
      </c>
      <c r="D15" s="17"/>
      <c r="E15" s="17"/>
      <c r="F15" s="25">
        <v>5312290</v>
      </c>
      <c r="G15" s="25">
        <v>132786</v>
      </c>
      <c r="H15" s="17"/>
      <c r="I15" s="20"/>
      <c r="K15" s="15">
        <f t="shared" si="0"/>
        <v>42492370</v>
      </c>
      <c r="L15" s="15">
        <f t="shared" si="1"/>
        <v>151758.46428571429</v>
      </c>
      <c r="M15" s="15">
        <f t="shared" si="2"/>
        <v>1062309.25</v>
      </c>
      <c r="O15" s="15">
        <f t="shared" si="3"/>
        <v>771278.53699294571</v>
      </c>
    </row>
    <row r="16" spans="2:15" ht="25.5" x14ac:dyDescent="0.2">
      <c r="B16" s="33" t="s">
        <v>61</v>
      </c>
      <c r="C16" s="18" t="s">
        <v>69</v>
      </c>
      <c r="D16" s="17"/>
      <c r="E16" s="17"/>
      <c r="F16" s="25">
        <f>SUM(F9:F15)</f>
        <v>24482422491</v>
      </c>
      <c r="G16" s="25">
        <f>SUM(G9:G15)</f>
        <v>66659248</v>
      </c>
      <c r="H16" s="17"/>
      <c r="I16" s="20"/>
      <c r="K16" s="41">
        <f t="shared" si="0"/>
        <v>43147011931</v>
      </c>
      <c r="L16" s="41">
        <f t="shared" si="1"/>
        <v>154096471.18214285</v>
      </c>
      <c r="M16" s="41">
        <f t="shared" si="2"/>
        <v>1078675298.2750001</v>
      </c>
      <c r="O16" s="15">
        <f t="shared" si="3"/>
        <v>783160935.42814529</v>
      </c>
    </row>
    <row r="17" spans="2:13" x14ac:dyDescent="0.2">
      <c r="B17" s="32"/>
      <c r="C17" s="16" t="s">
        <v>70</v>
      </c>
      <c r="D17" s="17"/>
      <c r="E17" s="17"/>
      <c r="F17" s="25">
        <f>F7+F16</f>
        <v>24629208557</v>
      </c>
      <c r="G17" s="25">
        <f>G7+G16</f>
        <v>71377374</v>
      </c>
      <c r="H17" s="17"/>
      <c r="I17" s="20"/>
      <c r="K17" s="41">
        <f t="shared" si="0"/>
        <v>44614873277</v>
      </c>
      <c r="L17" s="41">
        <f t="shared" si="1"/>
        <v>159338833.13214287</v>
      </c>
      <c r="M17" s="41">
        <f t="shared" si="2"/>
        <v>1115371831.925</v>
      </c>
    </row>
    <row r="18" spans="2:13" x14ac:dyDescent="0.2">
      <c r="B18" s="32" t="s">
        <v>71</v>
      </c>
      <c r="C18" s="17" t="s">
        <v>72</v>
      </c>
      <c r="D18" s="17"/>
      <c r="E18" s="17"/>
      <c r="F18" s="25">
        <v>3970000000</v>
      </c>
      <c r="G18" s="17"/>
      <c r="H18" s="17"/>
      <c r="I18" s="20"/>
      <c r="K18" s="15">
        <f t="shared" si="0"/>
        <v>3970000000</v>
      </c>
      <c r="L18" s="15">
        <f t="shared" si="1"/>
        <v>14178571.428571429</v>
      </c>
      <c r="M18" s="15">
        <f t="shared" si="2"/>
        <v>99250000</v>
      </c>
    </row>
    <row r="19" spans="2:13" ht="13.5" thickBot="1" x14ac:dyDescent="0.25">
      <c r="B19" s="21"/>
      <c r="C19" s="22" t="s">
        <v>73</v>
      </c>
      <c r="D19" s="23"/>
      <c r="E19" s="23"/>
      <c r="F19" s="26">
        <f>F17+F18</f>
        <v>28599208557</v>
      </c>
      <c r="G19" s="26">
        <f>G17+G18</f>
        <v>71377374</v>
      </c>
      <c r="H19" s="23"/>
      <c r="I19" s="24"/>
      <c r="K19" s="41">
        <f t="shared" si="0"/>
        <v>48584873277</v>
      </c>
      <c r="L19" s="41">
        <f t="shared" si="1"/>
        <v>173517404.56071427</v>
      </c>
      <c r="M19" s="41">
        <f t="shared" si="2"/>
        <v>1214621831.925</v>
      </c>
    </row>
    <row r="26" spans="2:13" x14ac:dyDescent="0.2">
      <c r="C26" s="35" t="s">
        <v>79</v>
      </c>
      <c r="F26" s="15">
        <f>K7</f>
        <v>1467861346</v>
      </c>
      <c r="G26" s="36">
        <f>F26/$F$29</f>
        <v>3.02123119192097E-2</v>
      </c>
    </row>
    <row r="27" spans="2:13" x14ac:dyDescent="0.2">
      <c r="C27" s="35" t="s">
        <v>80</v>
      </c>
      <c r="F27" s="15">
        <f>K16</f>
        <v>43147011931</v>
      </c>
      <c r="G27" s="36">
        <f>F27/$F$29</f>
        <v>0.88807501225748231</v>
      </c>
    </row>
    <row r="28" spans="2:13" x14ac:dyDescent="0.2">
      <c r="C28" s="35" t="s">
        <v>81</v>
      </c>
      <c r="F28" s="15">
        <f>K18</f>
        <v>3970000000</v>
      </c>
      <c r="G28" s="36">
        <f>F28/$F$29</f>
        <v>8.171267582330799E-2</v>
      </c>
    </row>
    <row r="29" spans="2:13" x14ac:dyDescent="0.2">
      <c r="C29" s="35" t="s">
        <v>78</v>
      </c>
      <c r="F29" s="15">
        <f>K19</f>
        <v>48584873277</v>
      </c>
    </row>
    <row r="30" spans="2:13" x14ac:dyDescent="0.2">
      <c r="C30" s="35"/>
    </row>
    <row r="31" spans="2:13" x14ac:dyDescent="0.2">
      <c r="C31" s="35" t="s">
        <v>82</v>
      </c>
      <c r="F31" s="15">
        <f>K9</f>
        <v>40790173429</v>
      </c>
      <c r="G31" s="36">
        <f>F31/$F$38</f>
        <v>0.94537655340376714</v>
      </c>
      <c r="H31" s="36">
        <f>G31*$G$27</f>
        <v>0.83956529425198689</v>
      </c>
    </row>
    <row r="32" spans="2:13" x14ac:dyDescent="0.2">
      <c r="C32" s="35" t="s">
        <v>83</v>
      </c>
      <c r="F32" s="15">
        <f t="shared" ref="F32:F38" si="4">K10</f>
        <v>1297437353</v>
      </c>
      <c r="G32" s="36">
        <f t="shared" ref="G32:G38" si="5">F32/$F$38</f>
        <v>3.0070155381207875E-2</v>
      </c>
      <c r="H32" s="36">
        <f t="shared" ref="H32:H38" si="6">G32*$G$27</f>
        <v>2.670455360875058E-2</v>
      </c>
    </row>
    <row r="33" spans="3:8" x14ac:dyDescent="0.2">
      <c r="C33" s="35" t="s">
        <v>84</v>
      </c>
      <c r="F33" s="15">
        <f t="shared" si="4"/>
        <v>809812692</v>
      </c>
      <c r="G33" s="36">
        <f t="shared" si="5"/>
        <v>1.8768685379535421E-2</v>
      </c>
      <c r="H33" s="36">
        <f t="shared" si="6"/>
        <v>1.6668000498487746E-2</v>
      </c>
    </row>
    <row r="34" spans="3:8" x14ac:dyDescent="0.2">
      <c r="C34" s="35" t="s">
        <v>85</v>
      </c>
      <c r="F34" s="15">
        <f t="shared" si="4"/>
        <v>57074187</v>
      </c>
      <c r="G34" s="36">
        <f t="shared" si="5"/>
        <v>1.3227842310673127E-3</v>
      </c>
      <c r="H34" s="36">
        <f t="shared" si="6"/>
        <v>1.1747316222191081E-3</v>
      </c>
    </row>
    <row r="35" spans="3:8" x14ac:dyDescent="0.2">
      <c r="C35" s="35" t="s">
        <v>88</v>
      </c>
      <c r="F35" s="15">
        <f t="shared" si="4"/>
        <v>60800600</v>
      </c>
      <c r="G35" s="36">
        <f t="shared" si="5"/>
        <v>1.4091497250662765E-3</v>
      </c>
      <c r="H35" s="36">
        <f t="shared" si="6"/>
        <v>1.2514306593608613E-3</v>
      </c>
    </row>
    <row r="36" spans="3:8" x14ac:dyDescent="0.2">
      <c r="C36" s="35" t="s">
        <v>86</v>
      </c>
      <c r="F36" s="15">
        <f t="shared" si="4"/>
        <v>89221300</v>
      </c>
      <c r="G36" s="36">
        <f t="shared" si="5"/>
        <v>2.0678442378044915E-3</v>
      </c>
      <c r="H36" s="36">
        <f t="shared" si="6"/>
        <v>1.836400796834788E-3</v>
      </c>
    </row>
    <row r="37" spans="3:8" x14ac:dyDescent="0.2">
      <c r="C37" s="35" t="s">
        <v>87</v>
      </c>
      <c r="F37" s="15">
        <f t="shared" si="4"/>
        <v>42492370</v>
      </c>
      <c r="G37" s="36">
        <f t="shared" si="5"/>
        <v>9.8482764155147316E-4</v>
      </c>
      <c r="H37" s="36">
        <f t="shared" si="6"/>
        <v>8.7460081984233194E-4</v>
      </c>
    </row>
    <row r="38" spans="3:8" x14ac:dyDescent="0.2">
      <c r="C38" s="34" t="s">
        <v>89</v>
      </c>
      <c r="F38" s="15">
        <f t="shared" si="4"/>
        <v>43147011931</v>
      </c>
      <c r="G38" s="36">
        <f t="shared" si="5"/>
        <v>1</v>
      </c>
      <c r="H38" s="36">
        <f t="shared" si="6"/>
        <v>0.88807501225748231</v>
      </c>
    </row>
  </sheetData>
  <mergeCells count="9">
    <mergeCell ref="K3:M3"/>
    <mergeCell ref="B5:I5"/>
    <mergeCell ref="B8:I8"/>
    <mergeCell ref="B3:B4"/>
    <mergeCell ref="C3:C4"/>
    <mergeCell ref="D3:D4"/>
    <mergeCell ref="E3:E4"/>
    <mergeCell ref="F3:G3"/>
    <mergeCell ref="H3:I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B3D2-F1B3-4714-B5A3-18042F9F92C3}">
  <dimension ref="B1:I6"/>
  <sheetViews>
    <sheetView zoomScale="70" zoomScaleNormal="70" workbookViewId="0">
      <selection activeCell="C37" sqref="C37"/>
    </sheetView>
  </sheetViews>
  <sheetFormatPr defaultRowHeight="12.75" x14ac:dyDescent="0.2"/>
  <cols>
    <col min="3" max="3" width="166.85546875" customWidth="1"/>
    <col min="6" max="6" width="13.85546875" bestFit="1" customWidth="1"/>
    <col min="7" max="7" width="11.42578125" bestFit="1" customWidth="1"/>
  </cols>
  <sheetData>
    <row r="1" spans="2:9" x14ac:dyDescent="0.2">
      <c r="B1" s="1" t="s">
        <v>74</v>
      </c>
    </row>
    <row r="2" spans="2:9" ht="13.5" thickBot="1" x14ac:dyDescent="0.25"/>
    <row r="3" spans="2:9" x14ac:dyDescent="0.2">
      <c r="B3" s="51" t="s">
        <v>1</v>
      </c>
      <c r="C3" s="53" t="s">
        <v>2</v>
      </c>
      <c r="D3" s="53"/>
      <c r="E3" s="55" t="s">
        <v>3</v>
      </c>
      <c r="F3" s="57" t="s">
        <v>4</v>
      </c>
      <c r="G3" s="57"/>
      <c r="H3" s="55" t="s">
        <v>5</v>
      </c>
      <c r="I3" s="58"/>
    </row>
    <row r="4" spans="2:9" x14ac:dyDescent="0.2">
      <c r="B4" s="52"/>
      <c r="C4" s="54"/>
      <c r="D4" s="54"/>
      <c r="E4" s="56"/>
      <c r="F4" s="3" t="s">
        <v>6</v>
      </c>
      <c r="G4" s="4" t="s">
        <v>77</v>
      </c>
      <c r="H4" s="3" t="s">
        <v>7</v>
      </c>
      <c r="I4" s="19" t="s">
        <v>8</v>
      </c>
    </row>
    <row r="5" spans="2:9" ht="331.5" x14ac:dyDescent="0.2">
      <c r="B5" s="31">
        <v>2</v>
      </c>
      <c r="C5" s="12" t="s">
        <v>54</v>
      </c>
      <c r="D5" s="14"/>
      <c r="E5" s="14"/>
      <c r="F5" s="25">
        <v>146786066</v>
      </c>
      <c r="G5" s="25">
        <v>4718126</v>
      </c>
      <c r="H5" s="14"/>
      <c r="I5" s="28"/>
    </row>
    <row r="6" spans="2:9" ht="13.5" thickBot="1" x14ac:dyDescent="0.25">
      <c r="B6" s="59" t="s">
        <v>55</v>
      </c>
      <c r="C6" s="60"/>
      <c r="D6" s="29"/>
      <c r="E6" s="29"/>
      <c r="F6" s="26">
        <f>F5</f>
        <v>146786066</v>
      </c>
      <c r="G6" s="26">
        <f>G5</f>
        <v>4718126</v>
      </c>
      <c r="H6" s="29"/>
      <c r="I6" s="30"/>
    </row>
  </sheetData>
  <mergeCells count="7">
    <mergeCell ref="F3:G3"/>
    <mergeCell ref="H3:I3"/>
    <mergeCell ref="B6:C6"/>
    <mergeCell ref="B3:B4"/>
    <mergeCell ref="C3:C4"/>
    <mergeCell ref="D3:D4"/>
    <mergeCell ref="E3:E4"/>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zoomScale="115" zoomScaleNormal="115" workbookViewId="0">
      <selection activeCell="C22" sqref="C22"/>
    </sheetView>
  </sheetViews>
  <sheetFormatPr defaultRowHeight="12.75" x14ac:dyDescent="0.2"/>
  <cols>
    <col min="1" max="1" width="12.140625" style="1"/>
    <col min="2" max="2" width="125" style="1" customWidth="1"/>
    <col min="3" max="3" width="61.85546875" style="40" customWidth="1"/>
    <col min="4" max="4" width="16.28515625" style="1" customWidth="1"/>
    <col min="5" max="5" width="11.85546875" style="1" bestFit="1" customWidth="1"/>
    <col min="6" max="6" width="5.5703125" style="1"/>
    <col min="7" max="7" width="5.7109375" style="1"/>
    <col min="8" max="8" width="12.5703125" style="1" bestFit="1" customWidth="1"/>
    <col min="9" max="9" width="15.140625" style="1" bestFit="1" customWidth="1"/>
    <col min="10" max="16384" width="9.140625" style="1"/>
  </cols>
  <sheetData>
    <row r="1" spans="1:12" ht="15" x14ac:dyDescent="0.2">
      <c r="A1" s="2" t="s">
        <v>50</v>
      </c>
    </row>
    <row r="3" spans="1:12" x14ac:dyDescent="0.2">
      <c r="A3" s="56" t="s">
        <v>1</v>
      </c>
      <c r="B3" s="54" t="s">
        <v>2</v>
      </c>
      <c r="C3" s="54" t="s">
        <v>3</v>
      </c>
      <c r="D3" s="61" t="s">
        <v>4</v>
      </c>
      <c r="E3" s="61"/>
      <c r="F3" s="56" t="s">
        <v>5</v>
      </c>
      <c r="G3" s="56"/>
    </row>
    <row r="4" spans="1:12" x14ac:dyDescent="0.2">
      <c r="A4" s="56"/>
      <c r="B4" s="54"/>
      <c r="C4" s="54"/>
      <c r="D4" s="3" t="s">
        <v>6</v>
      </c>
      <c r="E4" s="4" t="s">
        <v>77</v>
      </c>
      <c r="F4" s="3" t="s">
        <v>7</v>
      </c>
      <c r="G4" s="3" t="s">
        <v>8</v>
      </c>
    </row>
    <row r="5" spans="1:12" x14ac:dyDescent="0.2">
      <c r="A5" s="3"/>
      <c r="B5" s="5" t="s">
        <v>9</v>
      </c>
      <c r="C5" s="4"/>
      <c r="D5" s="3"/>
      <c r="E5" s="3"/>
      <c r="F5" s="3"/>
      <c r="G5" s="3"/>
    </row>
    <row r="6" spans="1:12" ht="76.5" x14ac:dyDescent="0.2">
      <c r="A6" s="4" t="s">
        <v>10</v>
      </c>
      <c r="B6" s="6" t="s">
        <v>0</v>
      </c>
      <c r="C6" s="4"/>
      <c r="D6" s="27">
        <v>71577720</v>
      </c>
      <c r="E6" s="27">
        <v>383451</v>
      </c>
      <c r="F6" s="3"/>
      <c r="G6" s="3"/>
      <c r="I6" s="27">
        <f>E6*美元汇率+D6</f>
        <v>178944000</v>
      </c>
      <c r="J6" s="37">
        <f>E6*美元汇率/I6</f>
        <v>0.59999932939914158</v>
      </c>
    </row>
    <row r="7" spans="1:12" ht="25.5" x14ac:dyDescent="0.2">
      <c r="A7" s="4" t="s">
        <v>11</v>
      </c>
      <c r="B7" s="6" t="s">
        <v>12</v>
      </c>
      <c r="C7" s="4"/>
      <c r="D7" s="27">
        <v>6710400</v>
      </c>
      <c r="E7" s="27">
        <v>55920</v>
      </c>
      <c r="F7" s="3"/>
      <c r="G7" s="3"/>
      <c r="I7" s="27">
        <f t="shared" ref="I7:I25" si="0">E7*美元汇率+D7</f>
        <v>22368000</v>
      </c>
      <c r="J7" s="37">
        <f t="shared" ref="J7:J25" si="1">E7*美元汇率/I7</f>
        <v>0.7</v>
      </c>
    </row>
    <row r="8" spans="1:12" x14ac:dyDescent="0.2">
      <c r="A8" s="39" t="s">
        <v>13</v>
      </c>
      <c r="B8" s="5" t="s">
        <v>14</v>
      </c>
      <c r="C8" s="4"/>
      <c r="D8" s="3"/>
      <c r="E8" s="3"/>
      <c r="F8" s="3"/>
      <c r="G8" s="3"/>
      <c r="I8" s="27"/>
      <c r="J8" s="37"/>
    </row>
    <row r="9" spans="1:12" ht="63.75" x14ac:dyDescent="0.2">
      <c r="A9" s="4" t="s">
        <v>15</v>
      </c>
      <c r="B9" s="6" t="s">
        <v>16</v>
      </c>
      <c r="C9" s="4"/>
      <c r="D9" s="27">
        <v>403610936</v>
      </c>
      <c r="E9" s="27">
        <v>1441468</v>
      </c>
      <c r="F9" s="3"/>
      <c r="G9" s="3"/>
      <c r="I9" s="27">
        <f t="shared" si="0"/>
        <v>807221976</v>
      </c>
      <c r="J9" s="37">
        <f t="shared" si="1"/>
        <v>0.50000006441846423</v>
      </c>
      <c r="K9" s="38">
        <f>I9/$I$13</f>
        <v>0.13567602018146632</v>
      </c>
    </row>
    <row r="10" spans="1:12" ht="114.75" x14ac:dyDescent="0.2">
      <c r="A10" s="4" t="s">
        <v>17</v>
      </c>
      <c r="B10" s="6" t="s">
        <v>18</v>
      </c>
      <c r="C10" s="7" t="s">
        <v>53</v>
      </c>
      <c r="D10" s="27">
        <v>807241156</v>
      </c>
      <c r="E10" s="27">
        <v>4324506</v>
      </c>
      <c r="F10" s="3"/>
      <c r="G10" s="3"/>
      <c r="I10" s="27">
        <f t="shared" si="0"/>
        <v>2018102836</v>
      </c>
      <c r="J10" s="37">
        <f t="shared" si="1"/>
        <v>0.59999998929687848</v>
      </c>
      <c r="K10" s="38">
        <f t="shared" ref="K10:K12" si="2">I10/$I$13</f>
        <v>0.33919810070360423</v>
      </c>
    </row>
    <row r="11" spans="1:12" ht="102" x14ac:dyDescent="0.2">
      <c r="A11" s="4" t="s">
        <v>20</v>
      </c>
      <c r="B11" s="6" t="s">
        <v>21</v>
      </c>
      <c r="C11" s="7" t="s">
        <v>22</v>
      </c>
      <c r="D11" s="27">
        <v>1137246671</v>
      </c>
      <c r="E11" s="27">
        <v>2187013</v>
      </c>
      <c r="F11" s="3"/>
      <c r="G11" s="3"/>
      <c r="I11" s="27">
        <f t="shared" si="0"/>
        <v>1749610311</v>
      </c>
      <c r="J11" s="37">
        <f t="shared" si="1"/>
        <v>0.35000001780396456</v>
      </c>
      <c r="K11" s="38">
        <f t="shared" si="2"/>
        <v>0.29407049228419119</v>
      </c>
    </row>
    <row r="12" spans="1:12" ht="89.25" x14ac:dyDescent="0.2">
      <c r="A12" s="4" t="s">
        <v>23</v>
      </c>
      <c r="B12" s="6" t="s">
        <v>45</v>
      </c>
      <c r="C12" s="7" t="s">
        <v>22</v>
      </c>
      <c r="D12" s="27">
        <v>893551056</v>
      </c>
      <c r="E12" s="27">
        <v>1718367</v>
      </c>
      <c r="F12" s="3"/>
      <c r="G12" s="3"/>
      <c r="I12" s="27">
        <f t="shared" si="0"/>
        <v>1374693816</v>
      </c>
      <c r="J12" s="37">
        <f t="shared" si="1"/>
        <v>0.34999994500593579</v>
      </c>
      <c r="K12" s="38">
        <f t="shared" si="2"/>
        <v>0.23105538683073829</v>
      </c>
    </row>
    <row r="13" spans="1:12" x14ac:dyDescent="0.2">
      <c r="A13" s="8"/>
      <c r="B13" s="5" t="s">
        <v>24</v>
      </c>
      <c r="C13" s="4"/>
      <c r="D13" s="27">
        <f>SUM(D9:D12)</f>
        <v>3241649819</v>
      </c>
      <c r="E13" s="27">
        <f>SUM(E9:E12)</f>
        <v>9671354</v>
      </c>
      <c r="F13" s="3"/>
      <c r="G13" s="3"/>
      <c r="I13" s="27">
        <f t="shared" si="0"/>
        <v>5949628939</v>
      </c>
      <c r="J13" s="37">
        <f t="shared" si="1"/>
        <v>0.45515092584162919</v>
      </c>
      <c r="L13" s="38" t="e">
        <f>I13/$I$28</f>
        <v>#REF!</v>
      </c>
    </row>
    <row r="14" spans="1:12" x14ac:dyDescent="0.2">
      <c r="A14" s="9" t="s">
        <v>25</v>
      </c>
      <c r="B14" s="5" t="s">
        <v>26</v>
      </c>
      <c r="C14" s="4"/>
      <c r="D14" s="3"/>
      <c r="E14" s="3"/>
      <c r="F14" s="3"/>
      <c r="G14" s="3"/>
      <c r="I14" s="27"/>
      <c r="J14" s="37"/>
    </row>
    <row r="15" spans="1:12" ht="63.75" x14ac:dyDescent="0.2">
      <c r="A15" s="4" t="s">
        <v>27</v>
      </c>
      <c r="B15" s="6" t="s">
        <v>28</v>
      </c>
      <c r="C15" s="4"/>
      <c r="D15" s="27">
        <v>435680468</v>
      </c>
      <c r="E15" s="27">
        <v>1556001</v>
      </c>
      <c r="F15" s="3"/>
      <c r="G15" s="3"/>
      <c r="I15" s="27">
        <f t="shared" si="0"/>
        <v>871360748</v>
      </c>
      <c r="J15" s="37">
        <f t="shared" si="1"/>
        <v>0.49999989212275142</v>
      </c>
      <c r="K15" s="38">
        <f>I15/$I$19</f>
        <v>0.21936109396665232</v>
      </c>
    </row>
    <row r="16" spans="1:12" ht="127.5" x14ac:dyDescent="0.2">
      <c r="A16" s="4" t="s">
        <v>29</v>
      </c>
      <c r="B16" s="6" t="s">
        <v>52</v>
      </c>
      <c r="C16" s="7" t="s">
        <v>19</v>
      </c>
      <c r="D16" s="27">
        <v>520825727</v>
      </c>
      <c r="E16" s="27">
        <v>2790137</v>
      </c>
      <c r="F16" s="3"/>
      <c r="G16" s="3"/>
      <c r="I16" s="27">
        <f t="shared" si="0"/>
        <v>1302064087</v>
      </c>
      <c r="J16" s="37">
        <f t="shared" si="1"/>
        <v>0.5999999291893533</v>
      </c>
      <c r="K16" s="38">
        <f t="shared" ref="K16:K18" si="3">I16/$I$19</f>
        <v>0.32778869508936198</v>
      </c>
    </row>
    <row r="17" spans="1:12" ht="102" x14ac:dyDescent="0.2">
      <c r="A17" s="4" t="s">
        <v>30</v>
      </c>
      <c r="B17" s="6" t="s">
        <v>51</v>
      </c>
      <c r="C17" s="7" t="s">
        <v>22</v>
      </c>
      <c r="D17" s="27">
        <v>654778471</v>
      </c>
      <c r="E17" s="27">
        <v>1259189</v>
      </c>
      <c r="F17" s="3"/>
      <c r="G17" s="3"/>
      <c r="I17" s="27">
        <f t="shared" si="0"/>
        <v>1007351391</v>
      </c>
      <c r="J17" s="37">
        <f t="shared" si="1"/>
        <v>0.34999993363785409</v>
      </c>
      <c r="K17" s="38">
        <f t="shared" si="3"/>
        <v>0.25359611807828292</v>
      </c>
    </row>
    <row r="18" spans="1:12" ht="89.25" x14ac:dyDescent="0.2">
      <c r="A18" s="4" t="s">
        <v>31</v>
      </c>
      <c r="B18" s="6" t="s">
        <v>46</v>
      </c>
      <c r="C18" s="7" t="s">
        <v>22</v>
      </c>
      <c r="D18" s="27">
        <v>514468739</v>
      </c>
      <c r="E18" s="27">
        <v>989363</v>
      </c>
      <c r="F18" s="3"/>
      <c r="G18" s="3"/>
      <c r="I18" s="27">
        <f t="shared" si="0"/>
        <v>791490379</v>
      </c>
      <c r="J18" s="37">
        <f t="shared" si="1"/>
        <v>0.35000000928627839</v>
      </c>
      <c r="K18" s="38">
        <f t="shared" si="3"/>
        <v>0.19925409286570281</v>
      </c>
    </row>
    <row r="19" spans="1:12" x14ac:dyDescent="0.2">
      <c r="A19" s="10"/>
      <c r="B19" s="11" t="s">
        <v>32</v>
      </c>
      <c r="C19" s="4"/>
      <c r="D19" s="27">
        <f>SUM(D15:D18)</f>
        <v>2125753405</v>
      </c>
      <c r="E19" s="27">
        <f>SUM(E15:E18)</f>
        <v>6594690</v>
      </c>
      <c r="F19" s="3"/>
      <c r="G19" s="3"/>
      <c r="I19" s="27">
        <f t="shared" si="0"/>
        <v>3972266605</v>
      </c>
      <c r="J19" s="37">
        <f t="shared" si="1"/>
        <v>0.46485127601348397</v>
      </c>
      <c r="L19" s="38" t="e">
        <f>I19/$I$28</f>
        <v>#REF!</v>
      </c>
    </row>
    <row r="20" spans="1:12" x14ac:dyDescent="0.2">
      <c r="A20" s="39" t="s">
        <v>33</v>
      </c>
      <c r="B20" s="11" t="s">
        <v>34</v>
      </c>
      <c r="C20" s="4"/>
      <c r="D20" s="3"/>
      <c r="E20" s="3"/>
      <c r="F20" s="3"/>
      <c r="G20" s="3"/>
      <c r="I20" s="27"/>
      <c r="J20" s="37"/>
    </row>
    <row r="21" spans="1:12" ht="63.75" x14ac:dyDescent="0.2">
      <c r="A21" s="4" t="s">
        <v>35</v>
      </c>
      <c r="B21" s="6" t="s">
        <v>36</v>
      </c>
      <c r="C21" s="4"/>
      <c r="D21" s="27">
        <v>1880903123</v>
      </c>
      <c r="E21" s="27">
        <v>6717511</v>
      </c>
      <c r="F21" s="3"/>
      <c r="G21" s="3"/>
      <c r="I21" s="27">
        <f t="shared" si="0"/>
        <v>3761806203</v>
      </c>
      <c r="J21" s="37">
        <f t="shared" si="1"/>
        <v>0.49999999428466041</v>
      </c>
      <c r="K21" s="38">
        <f>I21/$I$25</f>
        <v>0.33261400952293863</v>
      </c>
    </row>
    <row r="22" spans="1:12" ht="114.75" x14ac:dyDescent="0.2">
      <c r="A22" s="4" t="s">
        <v>37</v>
      </c>
      <c r="B22" s="6" t="s">
        <v>47</v>
      </c>
      <c r="C22" s="7" t="s">
        <v>19</v>
      </c>
      <c r="D22" s="27">
        <v>1618004348</v>
      </c>
      <c r="E22" s="27">
        <v>8667881</v>
      </c>
      <c r="F22" s="3"/>
      <c r="G22" s="3"/>
      <c r="I22" s="27">
        <f t="shared" si="0"/>
        <v>4045011028</v>
      </c>
      <c r="J22" s="37">
        <f t="shared" si="1"/>
        <v>0.60000001562418481</v>
      </c>
      <c r="K22" s="38">
        <f t="shared" ref="K22:K24" si="4">I22/$I$25</f>
        <v>0.35765461163698964</v>
      </c>
    </row>
    <row r="23" spans="1:12" ht="102" x14ac:dyDescent="0.2">
      <c r="A23" s="4" t="s">
        <v>38</v>
      </c>
      <c r="B23" s="6" t="s">
        <v>48</v>
      </c>
      <c r="C23" s="7" t="s">
        <v>22</v>
      </c>
      <c r="D23" s="27">
        <v>1275094888</v>
      </c>
      <c r="E23" s="27">
        <v>2452105</v>
      </c>
      <c r="F23" s="3"/>
      <c r="G23" s="3"/>
      <c r="I23" s="27">
        <f t="shared" si="0"/>
        <v>1961684288</v>
      </c>
      <c r="J23" s="37">
        <f t="shared" si="1"/>
        <v>0.34999994861558476</v>
      </c>
      <c r="K23" s="38">
        <f t="shared" si="4"/>
        <v>0.17344957215751367</v>
      </c>
    </row>
    <row r="24" spans="1:12" ht="89.25" x14ac:dyDescent="0.2">
      <c r="A24" s="4" t="s">
        <v>39</v>
      </c>
      <c r="B24" s="6" t="s">
        <v>40</v>
      </c>
      <c r="C24" s="7" t="s">
        <v>22</v>
      </c>
      <c r="D24" s="27">
        <v>1001860249</v>
      </c>
      <c r="E24" s="27">
        <v>1926654</v>
      </c>
      <c r="F24" s="3"/>
      <c r="G24" s="3"/>
      <c r="I24" s="27">
        <f t="shared" si="0"/>
        <v>1541323369</v>
      </c>
      <c r="J24" s="37">
        <f t="shared" si="1"/>
        <v>0.34999996162388686</v>
      </c>
      <c r="K24" s="38">
        <f t="shared" si="4"/>
        <v>0.13628180668255807</v>
      </c>
    </row>
    <row r="25" spans="1:12" x14ac:dyDescent="0.2">
      <c r="A25" s="3"/>
      <c r="B25" s="11" t="s">
        <v>41</v>
      </c>
      <c r="C25" s="4"/>
      <c r="D25" s="27">
        <f>SUM(D21:D24)</f>
        <v>5775862608</v>
      </c>
      <c r="E25" s="27">
        <f>SUM(E21:E24)</f>
        <v>19764151</v>
      </c>
      <c r="F25" s="3"/>
      <c r="G25" s="3"/>
      <c r="I25" s="27">
        <f t="shared" si="0"/>
        <v>11309824888</v>
      </c>
      <c r="J25" s="37">
        <f t="shared" si="1"/>
        <v>0.48930574388217707</v>
      </c>
      <c r="K25" s="38"/>
      <c r="L25" s="38" t="e">
        <f>I25/$I$28</f>
        <v>#REF!</v>
      </c>
    </row>
    <row r="26" spans="1:12" x14ac:dyDescent="0.2">
      <c r="A26" s="3"/>
      <c r="B26" s="13" t="s">
        <v>42</v>
      </c>
      <c r="C26" s="4"/>
      <c r="D26" s="3"/>
      <c r="E26" s="3"/>
      <c r="F26" s="3"/>
      <c r="G26" s="3"/>
      <c r="I26" s="27"/>
      <c r="J26" s="37"/>
    </row>
    <row r="27" spans="1:12" x14ac:dyDescent="0.2">
      <c r="A27" s="4" t="s">
        <v>43</v>
      </c>
      <c r="B27" s="6" t="s">
        <v>44</v>
      </c>
      <c r="C27" s="4"/>
      <c r="D27" s="3"/>
      <c r="E27" s="3"/>
      <c r="F27" s="3"/>
      <c r="G27" s="3"/>
      <c r="I27" s="27"/>
      <c r="J27" s="37"/>
    </row>
    <row r="28" spans="1:12" x14ac:dyDescent="0.2">
      <c r="A28" s="62" t="s">
        <v>49</v>
      </c>
      <c r="B28" s="62"/>
      <c r="C28" s="4"/>
      <c r="D28" s="27" t="e">
        <f>SUM(D6:D12,D15:D18,D20:D24,#REF!,D26:D27)</f>
        <v>#REF!</v>
      </c>
      <c r="E28" s="27" t="e">
        <f>SUM(E6:E12,E15:E18,E20:E24,#REF!,E26:E27)</f>
        <v>#REF!</v>
      </c>
      <c r="F28" s="3"/>
      <c r="G28" s="3"/>
      <c r="I28" s="27" t="e">
        <f t="shared" ref="I28" si="5">E28*美元汇率+D28</f>
        <v>#REF!</v>
      </c>
      <c r="J28" s="37" t="e">
        <f t="shared" ref="J28" si="6">E28*美元汇率/I28</f>
        <v>#REF!</v>
      </c>
    </row>
  </sheetData>
  <mergeCells count="6">
    <mergeCell ref="C3:C4"/>
    <mergeCell ref="D3:E3"/>
    <mergeCell ref="F3:G3"/>
    <mergeCell ref="A28:B28"/>
    <mergeCell ref="A3:A4"/>
    <mergeCell ref="B3:B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1.Summary</vt:lpstr>
      <vt:lpstr>2.Design</vt:lpstr>
      <vt:lpstr>3.Civil土方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凡龙 周</dc:creator>
  <cp:lastModifiedBy>e51723</cp:lastModifiedBy>
  <dcterms:created xsi:type="dcterms:W3CDTF">2025-10-26T03:58:33Z</dcterms:created>
  <dcterms:modified xsi:type="dcterms:W3CDTF">2026-09-08T06:22:36Z</dcterms:modified>
</cp:coreProperties>
</file>