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01 绿色程序\文档翻译器\"/>
    </mc:Choice>
  </mc:AlternateContent>
  <xr:revisionPtr revIDLastSave="0" documentId="13_ncr:1_{3978A4A8-291D-483B-A74B-CFB6B2D6F045}" xr6:coauthVersionLast="47" xr6:coauthVersionMax="47" xr10:uidLastSave="{00000000-0000-0000-0000-000000000000}"/>
  <bookViews>
    <workbookView xWindow="-120" yWindow="-120" windowWidth="38640" windowHeight="21390" xr2:uid="{00000000-000D-0000-FFFF-FFFF00000000}"/>
  </bookViews>
  <sheets>
    <sheet name="1.Summary" sheetId="12" r:id="rId1"/>
    <sheet name="2.Design" sheetId="11" r:id="rId2"/>
    <sheet name="3.Civil土方" sheetId="1" r:id="rId3"/>
  </sheets>
  <definedNames>
    <definedName name="美元汇率">280</definedName>
    <definedName name="人民币汇率">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 i="12" l="1"/>
  <c r="O11" i="12"/>
  <c r="O12" i="12"/>
  <c r="O13" i="12"/>
  <c r="O14" i="12"/>
  <c r="O15" i="12"/>
  <c r="O16" i="12"/>
  <c r="O9" i="12"/>
  <c r="M7" i="12"/>
  <c r="M9" i="12"/>
  <c r="M10" i="12"/>
  <c r="M11" i="12"/>
  <c r="M12" i="12"/>
  <c r="M13" i="12"/>
  <c r="M14" i="12"/>
  <c r="M15" i="12"/>
  <c r="M16" i="12"/>
  <c r="M17" i="12"/>
  <c r="M18" i="12"/>
  <c r="M19" i="12"/>
  <c r="M6" i="12"/>
  <c r="L7" i="12"/>
  <c r="L9" i="12"/>
  <c r="L10" i="12"/>
  <c r="L11" i="12"/>
  <c r="L12" i="12"/>
  <c r="L13" i="12"/>
  <c r="L14" i="12"/>
  <c r="L15" i="12"/>
  <c r="L16" i="12"/>
  <c r="L17" i="12"/>
  <c r="L18" i="12"/>
  <c r="L19" i="12"/>
  <c r="L6" i="12"/>
  <c r="I7" i="1"/>
  <c r="J7" i="1" s="1"/>
  <c r="I9" i="1"/>
  <c r="I10" i="1"/>
  <c r="I11" i="1"/>
  <c r="I12" i="1"/>
  <c r="I15" i="1"/>
  <c r="I16" i="1"/>
  <c r="I17" i="1"/>
  <c r="I18" i="1"/>
  <c r="I21" i="1"/>
  <c r="I22" i="1"/>
  <c r="I23" i="1"/>
  <c r="I24" i="1"/>
  <c r="I6" i="1"/>
  <c r="J6" i="1" s="1"/>
  <c r="H32" i="12"/>
  <c r="H33" i="12"/>
  <c r="H34" i="12"/>
  <c r="H35" i="12"/>
  <c r="H36" i="12"/>
  <c r="H37" i="12"/>
  <c r="H38" i="12"/>
  <c r="H31" i="12"/>
  <c r="G32" i="12"/>
  <c r="G33" i="12"/>
  <c r="G34" i="12"/>
  <c r="G35" i="12"/>
  <c r="G36" i="12"/>
  <c r="G37" i="12"/>
  <c r="G38" i="12"/>
  <c r="G31" i="12"/>
  <c r="F32" i="12"/>
  <c r="F33" i="12"/>
  <c r="F34" i="12"/>
  <c r="F35" i="12"/>
  <c r="F36" i="12"/>
  <c r="F37" i="12"/>
  <c r="F38" i="12"/>
  <c r="F31" i="12"/>
  <c r="G27" i="12"/>
  <c r="G28" i="12"/>
  <c r="G26" i="12"/>
  <c r="F29" i="12"/>
  <c r="F28" i="12"/>
  <c r="F27" i="12"/>
  <c r="F26" i="12"/>
  <c r="K7" i="12"/>
  <c r="K9" i="12"/>
  <c r="K10" i="12"/>
  <c r="K11" i="12"/>
  <c r="K12" i="12"/>
  <c r="K13" i="12"/>
  <c r="K14" i="12"/>
  <c r="K15" i="12"/>
  <c r="K16" i="12"/>
  <c r="K17" i="12"/>
  <c r="K18" i="12"/>
  <c r="K19" i="12"/>
  <c r="K6" i="12"/>
  <c r="E28" i="1"/>
  <c r="D28" i="1"/>
  <c r="E25" i="1"/>
  <c r="D25" i="1"/>
  <c r="E19" i="1"/>
  <c r="D19" i="1"/>
  <c r="E13" i="1"/>
  <c r="D13" i="1"/>
  <c r="G6" i="11"/>
  <c r="F6" i="11"/>
  <c r="G19" i="12"/>
  <c r="G17" i="12"/>
  <c r="G16" i="12"/>
  <c r="F19" i="12"/>
  <c r="F17" i="12"/>
  <c r="F16" i="12"/>
  <c r="G7" i="12"/>
  <c r="F7" i="12"/>
  <c r="J9" i="1" l="1"/>
  <c r="J10" i="1"/>
  <c r="J11" i="1"/>
  <c r="J12" i="1"/>
  <c r="J15" i="1"/>
  <c r="J16" i="1"/>
  <c r="J17" i="1"/>
  <c r="J18" i="1"/>
  <c r="J21" i="1"/>
  <c r="J22" i="1"/>
  <c r="J23" i="1"/>
  <c r="J24" i="1"/>
  <c r="I28" i="1"/>
  <c r="J28" i="1" s="1"/>
  <c r="I25" i="1"/>
  <c r="K24" i="1" s="1"/>
  <c r="I19" i="1"/>
  <c r="K18" i="1" s="1"/>
  <c r="J19" i="1"/>
  <c r="I13" i="1"/>
  <c r="K21" i="1" l="1"/>
  <c r="K22" i="1"/>
  <c r="J25" i="1"/>
  <c r="K23" i="1"/>
  <c r="L25" i="1"/>
  <c r="L19" i="1"/>
  <c r="K15" i="1"/>
  <c r="K16" i="1"/>
  <c r="K17" i="1"/>
  <c r="L13" i="1"/>
  <c r="J13" i="1"/>
  <c r="K9" i="1"/>
  <c r="K10" i="1"/>
  <c r="K11" i="1"/>
  <c r="K12" i="1"/>
</calcChain>
</file>

<file path=xl/sharedStrings.xml><?xml version="1.0" encoding="utf-8"?>
<sst xmlns="http://schemas.openxmlformats.org/spreadsheetml/2006/main" xmlns:r="http://schemas.openxmlformats.org/officeDocument/2006/relationships" xmlns:mc="http://schemas.openxmlformats.org/markup-compatibility/2006" xmlns:x14="http://schemas.microsoft.com/office/spreadsheetml/2009/9/main" xmlns:x14ac="http://schemas.microsoft.com/office/spreadsheetml/2009/9/ac" xmlns:x15="http://schemas.microsoft.com/office/spreadsheetml/2010/11/main" xmlns:x16r2="http://schemas.microsoft.com/office/spreadsheetml/2015/02/main" xmlns:xr="http://schemas.microsoft.com/office/spreadsheetml/2014/revision" xmlns:xr2="http://schemas.microsoft.com/office/spreadsheetml/2015/revision2" xmlns:xr3="http://schemas.microsoft.com/office/spreadsheetml/2016/revision3" count="117" uniqueCount="209">
  <si>
    <t>Pre- and Post-Conditions survey (Crack survey) of buildings/ structures and critical infrastructure and other facilities within the zone of influence    as    specified    in    E&amp;S documents    &amp;    Employer’s Requirements along the route of laying of pipes through micro-tunnelling    before laying    and    after completion of    laying    of    pipes including    but    not limited to installation, 24-hour monitoring and abandonment of observation wells, probes, sensors and other devices to the satisfaction of all permitting agencies, and implementation of remedial measures and rectification Arrangements related to retrofitting to avoid damages to utility services, private property, persons, animals, or crops, including compensation and remedial measures), (if any), etc in accordance with ER Sub Clause 4.1 &amp; 5.1</t>
    <phoneticPr fontId="2" type="noConversion"/>
  </si>
  <si>
    <t>Item No</t>
  </si>
  <si>
    <t>Description</t>
  </si>
  <si>
    <t>Reference</t>
  </si>
  <si>
    <t>Sub-Activity</t>
  </si>
  <si>
    <t>/ Price</t>
  </si>
  <si>
    <t>PKR</t>
  </si>
  <si>
    <t>FC2</t>
  </si>
  <si>
    <t>FC3</t>
  </si>
  <si>
    <t>Sewerage Conveyance SystemLaying of RCC pipes with micro-tunnelling &amp; manholes</t>
  </si>
  <si>
    <t>3.1</t>
  </si>
  <si>
    <t>3.2</t>
  </si>
  <si>
    <t>Vibration Analysis &amp; monitoring of sensitive receptors i.e. school, over head &amp; underground nearby structures, sensitive buildings, vulnerable structures etc in accordance with ER Sub Clause 4.1 &amp; 5.1</t>
  </si>
  <si>
    <t>3.3</t>
  </si>
  <si>
    <t>Laying of 1050mm pipe with Micro-tunnelling</t>
  </si>
  <si>
    <t>3.3.1</t>
  </si>
  <si>
    <t>Casting of Reinforced Concrete Pipes (6,000 psi or more) having length of approx. 2.44 m with joints provisions on both sides (Employer’s Requirements) including preparation of reinforcement cage, preparation of concrete mix by batching &amp; mixing plant, Pipe casting with HDPE Linning, with vertical spinning machines, steam or water curing,transportation    within    factory, storage, provisions of steel moulds for pipes casting, etc. with provision of holes for injection of bentonite slurry &amp; cement slurry and hooks for lifting in pipes, including Testing and in accordance with ER Sub Clause 4.1 &amp; 5.1, for the following internal diameter: 1,050 mm with approximately length of 9,837 m.</t>
    <phoneticPr fontId="2" type="noConversion"/>
  </si>
  <si>
    <t>3.3.2</t>
  </si>
  <si>
    <t>Laying of the following diameter and length of concrete pipes by micro-tunnelling and pipe jacking method (MTBM) including but not limited to Geological    Radar    Survey transportation and lowering of micro-tunnelling machines at Jacking Shaft &amp; assembling in the shaft, fixing of jacking frame, intermittent jacking, installation of control unit &amp; slurry separation machine, slurry pumps, generators,    removing    micro- tunnelling machine from receiving shaft and transportation again to jacking shaft for second drive, transportation of pipes, handling of pipes, installation of pipe, slurry separation machines, generator for power supply, water supply for slurry other uses, transportation of excavated material at designated location, fixing of pipe hoses, earth filling through bentonite, installation of survey control    points along drive length within    right of way, measurement of settlement at these control points after laying pipes, Drilling water bores for uninterrupted water supply    for construction purposes at each active site &amp; manufacturing    areas, remedial measures (if any), including Testing and Commissioning of all Works and Preparation of Testing and Commissioning    Report and in accordance with ER Sub Clause 4.1 &amp; 5.1 etc. 1,050 mm with approximately length of 9,837 m</t>
  </si>
  <si>
    <t>Drawing No. LW-TD-021 through Drawing No. LW-TD- 069</t>
  </si>
  <si>
    <t>3.3.3</t>
  </si>
  <si>
    <t>Construction of all Jacking Shafts along 1050 mm pipeline using Steel Sheet piles or any other technology (Indicative Numbers and Sizes mentioned    in    Employer’s Requirements,    however    the contractor may revisit the design to determine the numbers and sizes of Jacking Shafts) including but not limited to geological radar survey for identification    and    locating underground utilities, drilling of sheet steel piles, excavation of soil, installation of steel bracing at designed depth inside of shafts, construction of concrete slab in foundation,    construction    &amp; dismantling of two thrust blocks of required sizes, installation of two eyes for micro-tunnelling machine, removing of steel piles after completion of manholes and transportation for installation at another Jacking Shaft, transportation of excavated and dismantled material at designated location, etc. Back filling and compaction of all shafts after completion of micro-tunnelling works including Testing and Commissioning of all Works and Preparation of Testing and Commissioning Report and in accordance with ER Sub Clause 4.1 &amp; 5.1</t>
  </si>
  <si>
    <t>Drawing No. LW-TD-141 through Drawing No. LW-TD-153</t>
  </si>
  <si>
    <t>3.3.4</t>
  </si>
  <si>
    <t>Sub Total for 3.3 (Sum of 3.3.1 to 3.3.4)</t>
  </si>
  <si>
    <t>3.4</t>
  </si>
  <si>
    <t>Laying of 1500mm pipe with Micro-tunnelling</t>
  </si>
  <si>
    <t>3.4.1</t>
  </si>
  <si>
    <t>Casting of Reinforced Concrete Pipes (6,000 psi or more) having length of approx. 2.44 m with joints provisions on both sides (Employer’s Requirements) including preparation of reinforcement cage, preparation of concrete mix by batching &amp; mixing plant, Pipe casting with HDPE Linning, with vertical spinning machines, steam or water curing, transportation    within    factory, storage, provisions of steel moulds for pipes casting, etc. with provision of holes for injection of bentonite slurry &amp; cement slurry and hooks for lifting in pipes, including Testing and in accordance with ER Sub Clause 4.1 &amp; 5.1, for the following internal diameters: 1,500 mm with approximately length of 5,454 m.</t>
  </si>
  <si>
    <t>3.4.2</t>
  </si>
  <si>
    <t>3.4.3</t>
  </si>
  <si>
    <t>3.4.4</t>
  </si>
  <si>
    <t>Sub Total for 3.4 (Sum of 3.4.1 to 3.4.4)</t>
  </si>
  <si>
    <t>3.5</t>
  </si>
  <si>
    <t>Laying of 2400mm pipe with Micro-tunnelling</t>
  </si>
  <si>
    <t>3.5.1</t>
  </si>
  <si>
    <t>Casting of Reinforced Concrete Pipes (6,000 psi or more) having length of approx. 2.44 m with joints provisions on both sides (Employer’s Requirements) including preparation of reinforcement cage, preparation of concrete mix by batching &amp; mixing plant, Pipe casting with HDPE Linning, with vertical spinning machines, steam or water curing, transportation    within    factory, storage, provisions of steel moulds for pipes casting, etc. with provision of holes for injection of bentonite slurry &amp; cement slurry and hooks for lifting in pipes including Testing Report in accordance with ER Sub Clause 4.1 &amp; 5.1 for the following internal diameters: 2,400 mm with approximately length of 11,582 m.</t>
  </si>
  <si>
    <t>3.5.2</t>
  </si>
  <si>
    <t>3.5.3</t>
  </si>
  <si>
    <t>3.5.4</t>
  </si>
  <si>
    <t>Construction of all Receiving Shafts along 2400mm pipeline using Steel Sheet piles or any other technology (Indicative Numbers and Sizes mentioned    in    Employer’s Requirements,    however    the contractor may revisit the design to determine the numbers and sizes of Receiving    Shafts)    including geological radar survey for identification    and    locating underground utilities, drilling of sheet steel piles, excavation of soil, installation bracing of steel elements at designed depth inside of shafts, construction of concrete slab in foundation, installation of two eyes for    micro-tunnelling    machine, removing of steel piles after completion of manholes and transportation for installation at another    Receiving    Shaft, transportation of excavated material at designated location, etc. Back filling and compaction of all shafts after completion of micro-tunnelling works including Testing and Preparation of testing and commissioning report in accordance with ER Sub Clause 4.1 &amp; 5.1</t>
  </si>
  <si>
    <t>Sub Total for 3.5 (Sum of 3.5.1 to 3.5.4)</t>
  </si>
  <si>
    <t>Any other items</t>
  </si>
  <si>
    <t>3.41</t>
  </si>
  <si>
    <t>To be specified by the Tenderer (if any)</t>
  </si>
  <si>
    <t>Construction of all Receiving Shafts along 1050mm pipeline using Steel Sheet piles or any other technology (Indicative Numbers and Sizes mentioned    in    Employer’s Requirements,    however    the contractor may revisit the design to determine the numbers and sizes of Receiving    Shafts)    including geological radar survey for identification    and    locating underground utilities, drilling of sheet steel piles, excavation of soil, installation of steel bracing at designed depth inside of shafts, construction of concrete slab in foundation, installation of two eyes for    micro-tunnelling    machine, removing of steel piles    after completion of manholes and transportation for installation at another    Receiving    Shaft, transportation of excavated material at designated location, etc. Back filling and compaction of all shafts after completion of    micro- tunnelling works including Testing and Commissioning of all Works and Preparation of Testing    and Commissioning    Report    in accordance with ER Sub Clause 4.1 &amp; 5.1.</t>
    <phoneticPr fontId="2" type="noConversion"/>
  </si>
  <si>
    <t>Construction of all Receiving Shafts along 1500mm pipeline using Steel Sheet piles or any other technology (Indicative Numbers and Sizes mentioned    in    Employer’s Requirements,    however    the contractor may revisit the design to determine the numbers and sizes of Receiving    Shafts)    including geological radar survey for identification    and    locating underground utilities, drilling of sheet steel piles, excavation of soil, installation of steel bracing at designed depth inside of shafts, construction of concrete slab in foundation, installation of two eyes for    micro-tunnelling    machine, removing of steel piles after completion of manholes and transportation for installation at another    Receiving    Shaft, transportation of excavated material at designated location, etc. Back filling and compaction of all shafts after completion of micro-tunnelling works including Testing and Preparation of testing and commissioning report in accordance with ER Sub Clause 4.1 &amp; 5.1</t>
    <phoneticPr fontId="2" type="noConversion"/>
  </si>
  <si>
    <t>Laying of the following diameter and length of concrete pipes by micro-tunnelling and pipe jacking method (MTBM) including but not limited to transportation and lowering of micro-tunnelling machines at Jacking Shaft &amp; assembling in the shaft, fixing of jacking frame,    intermittent jacking, Construction    of Thrust    Block, installation of control unit &amp; slurry separation machine, slurry pumps, generators,    removing    micro- tunnelling machine from receiving shaft and transportation again to jacking shaft    for second drive, transportation of pipes, handling of pipes, installation of pipe, slurry separation machines, generator for power supply, Drilling water bores for uninterrupted water supply for construction purposes at each active site &amp; manufacturing areas in accordance with ER Sub Clause 4.1 ,4.19 &amp; 5.1 and for slurry other uses, transportation of excavated material at designated location, fixing of pipe hoses, earth filling through bentonite, installation of survey control points along drive length within right of way, measurement of settlement at these control points after laying pipes, remedial measures including Testing and Preparation of testing and commissioning report in accordance with ER Sub Clause 4.1 &amp; 5.1 (if any), etc. 2,400 mm with approximately length of 11,582 m.</t>
    <phoneticPr fontId="2" type="noConversion"/>
  </si>
  <si>
    <t>Construction of all Jacking Shafts along 2400mm pipeline using Steel Sheet piles or any other technology (Indicative Numbers and Sizes mentioned    in    Employer’s Requirements,    however    the contractor may revisit the design to determine the numbers and sizes of Jacking Shafts) including but not limited to geological radar survey for identification    and    locating underground utilities, drilling of sheet steel piles, excavation of soil, installation bracing of steel elements at designed depth inside of shafts, construction of concrete slab in foundation,    construction    &amp; dismantling of two thrust blocks of required sizes, installation of two eyes for micro-tunnelling machine, removing of steel piles after completion of manholes and transportation for installation at another Jacking Shaft, transportation of excavated and dismantled material at designated location, etc. Back filling and compaction of all shafts after completion of micro-tunnelling works including Testing and Preparation of testing and commissioning report in accordance with ER Sub Clause 4.1 &amp; 5.1</t>
    <phoneticPr fontId="2" type="noConversion"/>
  </si>
  <si>
    <t>Total for Schedule No 3 (to be carried forward to Schedule No 1)- Inclusive of Taxes Duties and
Miscellaneous charges</t>
    <phoneticPr fontId="2" type="noConversion"/>
  </si>
  <si>
    <t>Schedule No. 3: Civil Works</t>
    <phoneticPr fontId="2" type="noConversion"/>
  </si>
  <si>
    <t>Construction of all Jacking Shafts along 1500mm pipeline using Steel Sheet piles or any other technology (Indicative Numbers and Sizes mentioned    in    Employer’s Requirements,    however    the contractor may revisit the design to determine the numbers and sizes of Jacking Shafts) including but not limited to geological radar survey for identification    and    locating underground utilities, drilling of sheet steel piles, excavation of soil, installation of steel bracing at designed depth inside of shafts, construction of concrete slab in foundation,    construction    &amp; dismantling of two thrust blocks of required sizes, installation of two eyes for micro-tunnelling machine, removing of steel piles after completion of manholes and transportation for installation at another Jacking Shaft, transportation of excavated and dismantled material at designated location, etc. Back filling and compaction of all shafts after completion of micro-tunnelling works including Testing and Preparation of testing and commissioning report in accordance with ER Sub Clause 4.1 &amp; 5.1</t>
    <phoneticPr fontId="2" type="noConversion"/>
  </si>
  <si>
    <t>Laying of the following diameter and length of concrete pipes by micro-tunnelling and pipe jacking method (MTBM) including but not limited to transportation and lowering of micro-tunnelling machines at Jacking Shaft &amp; assembling in the shaft, fixing of jacking frame, including but not limited to geological radar survey, intermittent jacking, installation of control unit &amp; slurry separation machine, slurry pumps, generators, removing micro-tunnelling machine from    receiving    shaft    and transportation again to jacking shaft for second drive, transportation of pipes, handling of pipes, installation of pipe, slurry separation machines, generator for power supply, Drilling water bores for uninterrupted water supply for construction purposes at each active site &amp; manufacturing areas in accordance with ER Sub Clause 4.1 , 4.19 &amp; 5.1 and water supply for slurry other uses, transportation of excavated material at designated location, fixing of pipe hoses, earth filling through bentonite, installation of survey control points along drive length within right of way, measurement of settlement at these control points after laying pipes, remedial measures (if any), including Testing and Commissioning and Preparation of Testing and Commissioning Report and in accordance with ER Sub Clause 4.1 &amp; 5.1. 1,500 mm with approximately length of 5,454 m.</t>
    <phoneticPr fontId="2" type="noConversion"/>
  </si>
  <si>
    <t>Drawing No. LW-TD-021 through Drawing No. LW-TD- 069</t>
    <phoneticPr fontId="2" type="noConversion"/>
  </si>
  <si>
    <t>Detailed Design:
Preparation of following documents &amp; performing related activities as per Employers Requirement including but not limited to:
2.1.1 Inception Report
2.2.1Design Review Report
2.2.2. Equipment made available at site/ work methodology prepared for Detailed Field Investigations during Design, such as:
•Topographic survey,
•Geotechnical Investigations,
•Bathymetric survey,
•Hydrographic Survey,
•Ground Penetration Radar Survey for Existing Utilities Survey,
•Drone Survey,
•Environmental baseline monitoring,
•any other field investigations
2.2.3. Field Investigations teams mobilized
2.3.1 Field Investigations Report
2.4.1 Stage-I Detailed Design Report
2.5.1 Stage-II Detailed Design Report
2.6.1 ESHS Reports &amp; Plans and Implementations during design phase as per ER.
2.7.1 Work Program, Method Statements, Quality Management &amp; Assurance Plan, Safety and Security Plan, Environment and Social Management Plan
2.8. Field Investigations during Construction phase
2.9. As Built Drawings Approved
2.10. O&amp;M Manual Approved
2.11. Provision of licensed Software’s, Hi-Tech Computers, Hi-Tech Laptops, Hi-Tech Mobile Phones etc. as per Employer ‘s Requirements and in accordance with ER Sub Clause 4.1 &amp; 6.6
2.12. Training and Capacity Building for PMU and WASA Staff as per Employer’s Requirement
2.13. Any other Activity
To be specified by the Tenderer (if any)</t>
    <phoneticPr fontId="2" type="noConversion"/>
  </si>
  <si>
    <t>Total for Schedule No 2 (to be carried forward to Schedule No 1)- Inclusive of Taxes Duties and Miscellaneous charges</t>
  </si>
  <si>
    <t>A.Detailed Design</t>
    <phoneticPr fontId="2" type="noConversion"/>
  </si>
  <si>
    <t>Schedule No 2: Detailed Design including Field Investigations and Capacity Building</t>
    <phoneticPr fontId="2" type="noConversion"/>
  </si>
  <si>
    <t>Total Detailed Design (Sum Item No. 1)</t>
    <phoneticPr fontId="2" type="noConversion"/>
  </si>
  <si>
    <t>A</t>
    <phoneticPr fontId="2" type="noConversion"/>
  </si>
  <si>
    <t>B.Construction Works</t>
    <phoneticPr fontId="2" type="noConversion"/>
  </si>
  <si>
    <t>B</t>
    <phoneticPr fontId="2" type="noConversion"/>
  </si>
  <si>
    <t>Schedule No 3: Civil Works</t>
    <phoneticPr fontId="2" type="noConversion"/>
  </si>
  <si>
    <t>Schedule No 4: Mechanical Works</t>
    <phoneticPr fontId="2" type="noConversion"/>
  </si>
  <si>
    <t>Schedule No 5: Electrical Works</t>
    <phoneticPr fontId="2" type="noConversion"/>
  </si>
  <si>
    <t>Schedule No 6: SCADA System Works</t>
    <phoneticPr fontId="2" type="noConversion"/>
  </si>
  <si>
    <t>Schedule No 7: Erection, Testing and Commissioning</t>
    <phoneticPr fontId="2" type="noConversion"/>
  </si>
  <si>
    <t>Schedule No 8: ESHS</t>
    <phoneticPr fontId="2" type="noConversion"/>
  </si>
  <si>
    <t>Schedule No 9: Daywork Schedule</t>
    <phoneticPr fontId="2" type="noConversion"/>
  </si>
  <si>
    <t>Total Construction Works
(Sum Item No. 2 to 8)</t>
    <phoneticPr fontId="2" type="noConversion"/>
  </si>
  <si>
    <t>TOTAL TENDER PRICE (A+B)</t>
    <phoneticPr fontId="2" type="noConversion"/>
  </si>
  <si>
    <t>C</t>
  </si>
  <si>
    <t>Schedule No 10: Provisional Sum</t>
  </si>
  <si>
    <t>GRAND TOTAL (A+B+C)</t>
    <phoneticPr fontId="2" type="noConversion"/>
  </si>
  <si>
    <t>Schedule No. 2: Detailed Design including Field Investigations and Capacity Building</t>
    <phoneticPr fontId="2" type="noConversion"/>
  </si>
  <si>
    <t>Schedule No. 1: Grand Summary</t>
  </si>
  <si>
    <t>USD</t>
    <phoneticPr fontId="2" type="noConversion"/>
  </si>
  <si>
    <t>USD</t>
  </si>
  <si>
    <t>合计</t>
    <phoneticPr fontId="2" type="noConversion"/>
  </si>
  <si>
    <t>设计</t>
    <phoneticPr fontId="2" type="noConversion"/>
  </si>
  <si>
    <t>施工</t>
    <phoneticPr fontId="2" type="noConversion"/>
  </si>
  <si>
    <t>暂列</t>
    <phoneticPr fontId="2" type="noConversion"/>
  </si>
  <si>
    <t>土方</t>
    <phoneticPr fontId="2" type="noConversion"/>
  </si>
  <si>
    <t>机械</t>
    <phoneticPr fontId="2" type="noConversion"/>
  </si>
  <si>
    <t>电力</t>
    <phoneticPr fontId="2" type="noConversion"/>
  </si>
  <si>
    <t>监控及采集系统</t>
    <phoneticPr fontId="2" type="noConversion"/>
  </si>
  <si>
    <t xml:space="preserve"> ESHS</t>
  </si>
  <si>
    <t>计日工</t>
    <phoneticPr fontId="2" type="noConversion"/>
  </si>
  <si>
    <t>安装、试验、调试</t>
    <phoneticPr fontId="2" type="noConversion"/>
  </si>
  <si>
    <t>施工小计</t>
    <phoneticPr fontId="2" type="noConversion"/>
  </si>
  <si>
    <t>PKR</t>
    <phoneticPr fontId="2" type="noConversion"/>
  </si>
  <si>
    <t>CNY</t>
    <phoneticPr fontId="2" type="noConversion"/>
  </si>
  <si>
    <t>编号1：总汇总</t>
  </si>
  <si>
    <t>项目编号</t>
  </si>
  <si>
    <t>描述</t>
  </si>
  <si>
    <t>参考</t>
  </si>
  <si>
    <t>子活动</t>
  </si>
  <si>
    <t>/ 价格</t>
  </si>
  <si>
    <t>PKR</t>
  </si>
  <si>
    <t>USD</t>
  </si>
  <si>
    <t>FC2</t>
  </si>
  <si>
    <t>FC3</t>
  </si>
  <si>
    <t>PKR</t>
  </si>
  <si>
    <t>USD</t>
  </si>
  <si>
    <t>CNY</t>
  </si>
  <si>
    <t>CNY</t>
  </si>
  <si>
    <t>A.详细设计</t>
  </si>
  <si>
    <t>编号2：包括现场调查和能力建设的详细设计</t>
  </si>
  <si>
    <t>A</t>
  </si>
  <si>
    <t>详细设计总计（项目编号1之和）</t>
  </si>
  <si>
    <t>B.施工工程</t>
  </si>
  <si>
    <t>编号3：土建工程</t>
  </si>
  <si>
    <t>编号4：机械工程</t>
  </si>
  <si>
    <t>编号5：电气工程</t>
  </si>
  <si>
    <t>编号6：SCADA系统工作</t>
  </si>
  <si>
    <t>编号7：安装、测试和调试</t>
  </si>
  <si>
    <t>编号8：ESHS</t>
  </si>
  <si>
    <t>编号9：计日工清单</t>
  </si>
  <si>
    <t>B</t>
  </si>
  <si>
    <t>施工工程总计
（项目编号2至8之和）</t>
  </si>
  <si>
    <t>投标总价(A+B)</t>
  </si>
  <si>
    <t>C</t>
  </si>
  <si>
    <t>编号10：暂列金额</t>
  </si>
  <si>
    <t>总计(A+B+C)</t>
  </si>
  <si>
    <t>设计</t>
  </si>
  <si>
    <t>施工</t>
  </si>
  <si>
    <t>暂列</t>
  </si>
  <si>
    <t>合计</t>
  </si>
  <si>
    <t>土方</t>
  </si>
  <si>
    <t>机械</t>
  </si>
  <si>
    <t>电力</t>
  </si>
  <si>
    <t>监控及采集系统</t>
  </si>
  <si>
    <t>安装、试验、调试</t>
  </si>
  <si>
    <t xml:space="preserve">ESHS</t>
  </si>
  <si>
    <t>计日工</t>
  </si>
  <si>
    <t>施工小计</t>
  </si>
  <si>
    <t>编号2：包括现场调查和能力建设的详细设计</t>
  </si>
  <si>
    <t>项目编号</t>
  </si>
  <si>
    <t>描述</t>
  </si>
  <si>
    <t>参考</t>
  </si>
  <si>
    <t>子活动</t>
  </si>
  <si>
    <t>/ 价格</t>
  </si>
  <si>
    <t>PKR</t>
  </si>
  <si>
    <t>USD</t>
  </si>
  <si>
    <t>FC2</t>
  </si>
  <si>
    <t>FC3</t>
  </si>
  <si>
    <t>详细设计：
按照业主要求编制下列文件并执行相关活动，包括但不限于：
2.1.1启动报告
2.2.1设计审查报告
2.2.2.在现场提供的设备/为设计阶段详细现场调查准备的工作方法，例如：
•地形测量，
•岩土工程勘察，
•水深测量，
•水文测量，
•用于现有公用设施探测的探地雷达测量，
•无人机测量，
•环境基线监测，
•其他任何现场调查
2.2.3.现场调查团队动员
2.3.1现场调查报告
2.4.1第一阶段详细设计报告
2.5.1第二阶段详细设计报告
2.6.1 ESHS根据ER在设计阶段编制的报告与图纸及实施工作。
2.7.1工作计划、施工方案、质量管理与保证计划、安全保卫计划、环境与社会管理计划
2.8.施工阶段的现场调查
2.9.经批准的竣工图
2.10.经批准的操作与维护手册
2.11.根据业主要求并提供符合ER子条款4.1和6.6的授权软件、高科技计算机、高科技笔记本电脑、高科技移动电话等。
2.12.根据业主要求对PMU和WASA员工进行培训和能力建设
2.13.任何其他活动
由投标人指定（如有）</t>
  </si>
  <si>
    <t>进度表编号2总计（结转至进度表编号1）- 包含税费及其他杂费</t>
  </si>
  <si>
    <t>进度表编号3：土建工程</t>
  </si>
  <si>
    <t>项目编号</t>
  </si>
  <si>
    <t>描述</t>
  </si>
  <si>
    <t>参考</t>
  </si>
  <si>
    <t>子活动</t>
  </si>
  <si>
    <t>/ 价格</t>
  </si>
  <si>
    <t>PKR</t>
  </si>
  <si>
    <t>USD</t>
  </si>
  <si>
    <t>FC2</t>
  </si>
  <si>
    <t>FC3</t>
  </si>
  <si>
    <t>污水输送系统采用微型顶管法铺设RCC管道及检查井</t>
  </si>
  <si>
    <t>3.1</t>
  </si>
  <si>
    <t>按照E&amp;S文件和业主要求规定的沿线影响范围内建筑物/结构物、关键基础设施及其他设施的铺前和铺后状况调查（裂缝调查），包括但不限于安装、24小时监测以及废弃观测井、探头、传感器和其他设备以满足所有许可机构的要求，并实施补救措施和整改安排，涉及改造以避免损坏公用服务设施、私人财产、人员、动物或农作物，包括补偿和补救措施）、（如有）等，符合ER子条款4.1和5.1</t>
  </si>
  <si>
    <t>3.2</t>
  </si>
  <si>
    <t>振动分析与敏感受体监测，即学校、地上及地下邻近结构物、敏感建筑、脆弱结构物等，符合ER子条款4.1和5.1</t>
  </si>
  <si>
    <t>3.3</t>
  </si>
  <si>
    <t>采用微型顶管法铺设1050mm管道</t>
  </si>
  <si>
    <t>3.3.1</t>
  </si>
  <si>
    <t>预制钢筋混凝土管（6,000 psi或更高），长度约2.44 m，两端设有接头预留（业主要求），包括钢筋笼制作、通过配料搅拌站制备混凝土混合料、使用HDPE内衬并通过立式旋转机进行管道浇筑、蒸汽或水养护、厂内运输、储存、提供管道浇筑钢模等，并预留注入膨润土浆液和水泥浆液的孔洞及管道吊装钩，包括测试，符合ER子条款4.1和5.1，针对以下内径：1,050 mm，长度约为9,837 m。</t>
  </si>
  <si>
    <t>3.3.2</t>
  </si>
  <si>
    <t>采用微型顶管及顶管法（MTBM）铺设以下直径和长度的混凝土管道，包括但不限于：地质雷达勘测、微型顶管机的运输及在顶进工作井内的下放与组装、固定顶进架、间歇性顶进、控制单元及泥浆分离机安装、泥浆泵、发电机、从接收井移除微型顶管机并再次运输至顶进工作井进行第二次顶进、管道运输、管道搬运、管道安装、泥浆分离机、供电用发电机、用于泥浆及其他用途的供水、将开挖材料运输至指定位置、固定管道软管、通过膨润土回填土方、沿顶进长度范围内道路红线内设置测量控制点、铺设管道后对这些控制点进行沉降测量、在每个活跃施工场地及制造区钻探水井以确保持续供水用于施工目的、补救措施（如有），包括所有工程的测试与调试以及编制测试与调试报告，并符合ER子条款4.1 &amp; 5.1等。1,050 mm长度约为9,837 m</t>
  </si>
  <si>
    <t>图纸编号LW-TD-021至图纸编号LW-TD- 069</t>
  </si>
  <si>
    <t>3.3.3</t>
  </si>
  <si>
    <t>使用钢板桩或其他技术建造沿1050 mm管道的全部顶进工作井（雇主需求中提及了指示性数量和尺寸，但承包商可重新审视设计以确定顶进工作井的数量和尺寸），包括但不限于：用于识别和定位地下管线的地质雷达勘测、钢板桩钻孔、土壤开挖、在工作井内部设计深度处安装钢支撑、基础混凝土板施工、建造及拆除两个所需尺寸的推力块、为微型顶管机安装两个眼孔、人孔完工后移除钢桩并运输至另一顶进工作井安装、将开挖及拆除的材料运输至指定位置等。微型顶管工程完工后对所有工作井进行回填和压实，包括所有工程的测试与调试以及编制测试与调试报告，并符合ER子条款4.1 &amp; 5.1</t>
  </si>
  <si>
    <t>图纸编号LW-TD-141至图纸编号LW-TD-153</t>
  </si>
  <si>
    <t>3.3.4</t>
  </si>
  <si>
    <t>使用钢板桩或其他技术建造沿1050mm管道的全部接收井（雇主需求中提及了指示性数量和尺寸，但承包商可重新审视设计以确定接收井的数量和尺寸），包括用于识别和定位地下管线的地质雷达勘测、钢板桩钻孔、土壤开挖、在工作井内部设计深度处安装钢支撑、基础混凝土板施工、为微型顶管机安装两个眼孔、人孔完工后移除钢桩并运输至另一接收井安装、将开挖材料运输至指定位置等。微型顶管工程完工后对所有工作井进行回填和压实，包括所有工程的测试与调试以及编制测试与调试报告，并符合ER子条款4.1 &amp; 5.1。</t>
  </si>
  <si>
    <t>图纸编号LW-TD-141至图纸编号LW-TD-153</t>
  </si>
  <si>
    <t>3.3小计（3.3.1至3.3.4之和）</t>
  </si>
  <si>
    <t>3.4</t>
  </si>
  <si>
    <t>采用微型顶管法铺设1500mm管道</t>
  </si>
  <si>
    <t>3.4.1</t>
  </si>
  <si>
    <t>浇筑钢筋混凝土管（6,000 psi或更高），长度约为2.44 m，两端设有接头预留（业主要求），包括钢筋笼制作、通过配料搅拌站制备混凝土拌合物、采用HDPE内衬进行管道浇筑、使用立式旋转成型机、蒸汽或水养护、厂内运输、存储、提供用于管道浇筑的钢模具等，并预留膨润土浆液和水泥浆液注入孔及管道吊装钩，包括试验，并符合ER子条款4.1和5.1，针对以下内径：1,500 mm，长度约为5,454 m。</t>
  </si>
  <si>
    <t>3.4.2</t>
  </si>
  <si>
    <t>采用微型隧道掘进和顶管法（MTBM）铺设以下直径和长度的混凝土管，包括但不限于微型隧道掘进机的运输及在顶管工作井内的下放与组装、固定顶进框架，包括但不限于地质雷达探测、间歇性顶进、控制单元及泥浆分离设备的安装、泥浆泵、发电机、将微型隧道掘进机从接收井移出并再次运回顶管工作井以进行第二次掘进、管道的运输、管道的搬运、管道的安装、泥浆分离设备、供电用发电机、在每个活跃施工场地及制造区域钻探水井以确保施工用水不间断供应，符合ER子条款4.1、4.19和5.1，以及用于泥浆及其他用途的供水、挖掘物料运至指定位置、固定管道软管、通过膨润土回填土方、沿掘进路线在道路红线范围内设置测量控制点、铺管后对这些控制点进行沉降观测、补救措施（如有），包括试验与调试以及编制试验与调试报告，并符合ER子条款4.1和5.1。1,500 mm，长度约为5,454 m。</t>
  </si>
  <si>
    <t>图纸编号LW-TD-021至图纸编号LW-TD- 069</t>
  </si>
  <si>
    <t>3.4.3</t>
  </si>
  <si>
    <t>沿1500mm管线建造所有顶管工作井，采用钢板桩或其他技术（数量及尺寸见业主要求中的指示性说明，但承包商可重新审视设计以确定顶管工作井的数量和尺寸），包括但不限于地质雷达探测以识别和定位地下管线、钢板桩钻孔、土方开挖、在井内设计深度安装钢支撑、基础混凝土板施工、所需尺寸的两个反力架的施工与拆除、为微型隧道掘进机安装两个导向眼、检查井完工后移除钢桩并运输至另一顶管工作井进行安装、挖掘及拆除物料运至指定位置等。微型隧道掘进工程完工后对所有工作井进行回填和压实，包括试验以及按照ER子条款4.1和5.1编制试验与调试报告。</t>
  </si>
  <si>
    <t>图纸编号LW-TD-141至图纸编号LW-TD-153</t>
  </si>
  <si>
    <t>3.4.4</t>
  </si>
  <si>
    <t>沿1500mm管道建造所有接收井，采用钢板桩或其他技术（业主需求中提及的参考数量和尺寸，但承包商可重新审视设计以确定接收井的数量和尺寸），包括用于识别和定位地下管线的地质雷达勘测、钢板桩钻孔、土方开挖、在井内设计深度安装钢支撑、基础混凝土板施工、为微型顶管机安装两个眼孔、人孔完工后移除钢桩并运输至另一接收井进行安装、将开挖材料运至指定位置等。微型顶管工程完工后对所有井进行回填和压实，包括按照ER子条款4.1和5.1进行测试及编制测试和调试报告</t>
  </si>
  <si>
    <t>图纸编号LW-TD-141至图纸编号LW-TD-153</t>
  </si>
  <si>
    <t>3.4小计（3.4.1至3.4.4之和）</t>
  </si>
  <si>
    <t>3.5</t>
  </si>
  <si>
    <t>采用微型顶管法铺设2400mm管道</t>
  </si>
  <si>
    <t>3.5.1</t>
  </si>
  <si>
    <t>浇筑钢筋混凝土管（强度不低于6,000 psi），长度约为2.44 m，两端设有接头预留（按业主需求），包括钢筋笼制作、通过配料和搅拌站制备混凝土混合料、使用HDPE衬里并通过立式旋转机制管、蒸汽或水养护、厂内运输、储存、提供制管用钢模具等，并提供用于注入膨润土浆液和水泥浆液的孔洞以及管内的吊装钩，包括按照ER子条款4.1和5.1提供的测试报告，针对以下内径：2,400 mm，长度约为11,582 m。</t>
  </si>
  <si>
    <t>3.5.2</t>
  </si>
  <si>
    <t>采用微型顶管和顶管法（MTBM）铺设以下直径和长度的混凝土管，包括但不限于微型顶管机的运输和在顶进井中的下放及组装、固定顶进架、间歇性顶进、反力块施工、控制单元和泥浆分离机安装、泥浆泵、发电机、从接收井移除微型顶管机并再次运输至顶进井进行第二次掘进、管道运输、管道搬运、管道安装、泥浆分离机、供电发电机、按照ER子条款4.1、4.19和5.1在每个活跃工地和制造区钻探水井以确保持续供水用于施工及其他泥浆用途、将开挖材料运至指定位置、固定管道软管、通过膨润土进行填土、沿掘进路线在路权范围内设置测量控制点、铺管后在这些控制点进行沉降测量、补救措施，包括按照ER子条款4.1和5.1进行测试及编制测试和调试报告（如有）等。2,400 mm，长度约为11,582 m。</t>
  </si>
  <si>
    <t>图纸编号LW-TD-021至图纸编号LW-TD- 069</t>
  </si>
  <si>
    <t>3.5.3</t>
  </si>
  <si>
    <t>沿2400mm管道建造所有顶进工作井，采用钢板桩或其他技术（业主需求中提及了参考数量和尺寸，但承包商可重新审查设计以确定顶进工作井的数量和尺寸），包括但不限于：用于识别和定位地下管线的地质雷达勘测、钢板桩钻孔、土方开挖、在井内设计深度安装钢支撑构件、基础混凝土板施工、建造及拆除两个所需尺寸的推力块、为微型隧道掘进机安装两个接收孔/始发孔、人孔完工后移除钢桩并运输至另一顶进工作井进行安装、将开挖及拆除的材料运输至指定位置等。微型隧道掘进工程完工后对所有工作井进行回填和压实，包括按照ER子条款4.1和5.1进行测试以及编制测试和调试报告</t>
  </si>
  <si>
    <t>图纸编号LW-TD-141至图纸编号LW-TD-153</t>
  </si>
  <si>
    <t>3.5.4</t>
  </si>
  <si>
    <t>沿2400mm管道建造所有接收工作井，采用钢板桩或其他技术（业主需求中提及了参考数量和尺寸，但承包商可重新审查设计以确定接收工作井的数量和尺寸），包括：用于识别和定位地下管线的地质雷达勘测、钢板桩钻孔、土方开挖、在井内设计深度安装钢支撑构件、基础混凝土板施工、为微型隧道掘进机安装两个接收孔/始发孔、人孔完工后移除钢桩并运输至另一接收工作井进行安装、将开挖材料运输至指定位置等。微型隧道掘进工程完工后对所有工作井进行回填和压实，包括按照ER子条款4.1和5.1进行测试以及编制测试和调试报告</t>
  </si>
  <si>
    <t>图纸编号LW-TD-141至图纸编号LW-TD-153</t>
  </si>
  <si>
    <t>3.5小计（3.5.1至3.5.4之和）</t>
  </si>
  <si>
    <t>其他项目</t>
  </si>
  <si>
    <t>3.41</t>
  </si>
  <si>
    <t>由投标人自行规定（如有）</t>
  </si>
  <si>
    <t>附表编号3总计（结转至附表编号1）- 含税费、关税及其他杂费</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</si>
</sst>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5="http://schemas.microsoft.com/office/spreadsheetml/2010/11/main" xmlns:xr="http://schemas.microsoft.com/office/spreadsheetml/2014/revision" xmlns:r="http://schemas.openxmlformats.org/officeDocument/2006/relationships" xmlns:x16r2="http://schemas.microsoft.com/office/spreadsheetml/2015/02/main" xmlns:xr2="http://schemas.microsoft.com/office/spreadsheetml/2015/revision2" xmlns:xr3="http://schemas.microsoft.com/office/spreadsheetml/2016/revision3" mc:Ignorable="x14ac x16r2 xr">
  <numFmts count="2">
    <numFmt numFmtId="176" formatCode="#,##0_ "/>
    <numFmt numFmtId="177" formatCode="#,##0_);[Red]\(#,##0\)"/>
  </numFmts>
  <fonts count="12" x14ac:knownFonts="1">
    <font>
      <sz val="10"/>
      <name val="Arial"/>
    </font>
    <font>
      <sz val="11"/>
      <color theme="1"/>
      <name val="等线"/>
      <family val="2"/>
      <scheme val="minor"/>
    </font>
    <font>
      <sz val="9"/>
      <name val="宋体"/>
      <family val="3"/>
      <charset val="134"/>
    </font>
    <font>
      <b/>
      <sz val="10"/>
      <name val="Arial"/>
      <family val="2"/>
    </font>
    <font>
      <sz val="10"/>
      <name val="Arial"/>
      <family val="2"/>
    </font>
    <font>
      <b/>
      <sz val="10"/>
      <color rgb="FFFF0000"/>
      <name val="Arial"/>
      <family val="2"/>
    </font>
    <font>
      <sz val="10"/>
      <color rgb="FFFF0000"/>
      <name val="Arial"/>
      <family val="2"/>
    </font>
    <font>
      <b/>
      <sz val="11"/>
      <color rgb="FFFF0000"/>
      <name val="Arial"/>
      <family val="2"/>
    </font>
    <font>
      <sz val="10"/>
      <name val="宋体"/>
      <family val="3"/>
      <charset val="134"/>
    </font>
    <font>
      <sz val="10"/>
      <name val="等线"/>
      <family val="3"/>
      <charset val="134"/>
      <scheme val="minor"/>
    </font>
    <font>
      <sz val="10"/>
      <name val="华文细黑"/>
      <family val="3"/>
      <charset val="134"/>
    </font>
    <font>
      <sz val="10"/>
      <name val="SimHei"/>
    </font>
  </fonts>
  <fills count="2">
    <fill>
      <patternFill patternType="none"/>
    </fill>
    <fill>
      <patternFill patternType="gray125"/>
    </fill>
  </fills>
  <borders count="12">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indexed="64"/>
      </right>
      <top style="medium">
        <color auto="1"/>
      </top>
      <bottom style="thin">
        <color auto="1"/>
      </bottom>
      <diagonal/>
    </border>
    <border>
      <left style="medium">
        <color indexed="64"/>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auto="1"/>
      </top>
      <bottom style="medium">
        <color auto="1"/>
      </bottom>
      <diagonal/>
    </border>
  </borders>
  <cellStyleXfs count="3">
    <xf numFmtId="0" fontId="0" fillId="0" borderId="0">
      <alignment vertical="center"/>
    </xf>
    <xf numFmtId="0" fontId="1" fillId="0" borderId="2"/>
    <xf numFmtId="0" fontId="4" fillId="0" borderId="2">
      <alignment vertical="center"/>
    </xf>
  </cellStyleXfs>
  <cellXfs count="89">
    <xf numFmtId="0" fontId="0" fillId="0" borderId="0" xfId="0">
      <alignment vertical="center"/>
    </xf>
    <xf numFmtId="0" fontId="4" fillId="0" borderId="0" xfId="0" applyFont="1">
      <alignment vertical="center"/>
    </xf>
    <xf numFmtId="0" fontId="7" fillId="0" borderId="1" xfId="0" applyFont="1" applyBorder="1">
      <alignment vertical="center"/>
    </xf>
    <xf numFmtId="0" fontId="4" fillId="0" borderId="3" xfId="0" applyFont="1" applyBorder="1" applyAlignment="1">
      <alignment horizontal="left" vertical="center"/>
    </xf>
    <xf numFmtId="0" fontId="4" fillId="0" borderId="3" xfId="0" applyFont="1" applyBorder="1" applyAlignment="1">
      <alignment horizontal="center" vertical="center"/>
    </xf>
    <xf numFmtId="0" fontId="5" fillId="0" borderId="3" xfId="0" applyFont="1" applyBorder="1" applyAlignment="1">
      <alignment horizontal="justify" vertical="center" wrapText="1"/>
    </xf>
    <xf numFmtId="0" fontId="4" fillId="0" borderId="3" xfId="0" applyFont="1" applyBorder="1" applyAlignment="1">
      <alignment horizontal="justify" vertical="center" wrapText="1"/>
    </xf>
    <xf numFmtId="0" fontId="4" fillId="0" borderId="3" xfId="0" applyFont="1" applyBorder="1" applyAlignment="1">
      <alignment horizontal="center" vertical="center" wrapText="1"/>
    </xf>
    <xf numFmtId="0" fontId="6" fillId="0" borderId="3" xfId="0" applyFont="1" applyBorder="1" applyAlignment="1">
      <alignment horizontal="left" vertical="center"/>
    </xf>
    <xf numFmtId="0" fontId="6" fillId="0" borderId="3" xfId="0" applyFont="1" applyBorder="1" applyAlignment="1">
      <alignment horizontal="center" vertical="center"/>
    </xf>
    <xf numFmtId="0" fontId="3" fillId="0" borderId="3" xfId="0" applyFont="1" applyBorder="1" applyAlignment="1">
      <alignment horizontal="left" vertical="center"/>
    </xf>
    <xf numFmtId="0" fontId="3" fillId="0" borderId="3" xfId="0" applyFont="1" applyBorder="1" applyAlignment="1">
      <alignment horizontal="justify" vertical="center" wrapText="1"/>
    </xf>
    <xf numFmtId="0" fontId="4" fillId="0" borderId="3" xfId="0" applyFont="1" applyBorder="1" applyAlignment="1">
      <alignment vertical="center" wrapText="1"/>
    </xf>
    <xf numFmtId="0" fontId="5" fillId="0" borderId="3" xfId="0" applyFont="1" applyBorder="1" applyAlignment="1">
      <alignment horizontal="justify" vertical="center"/>
    </xf>
    <xf numFmtId="0" fontId="0" fillId="0" borderId="3" xfId="0" applyBorder="1">
      <alignment vertical="center"/>
    </xf>
    <xf numFmtId="176" fontId="0" fillId="0" borderId="0" xfId="0" applyNumberFormat="1">
      <alignment vertical="center"/>
    </xf>
    <xf numFmtId="177" fontId="4" fillId="0" borderId="3" xfId="0" applyNumberFormat="1" applyFont="1" applyBorder="1">
      <alignment vertical="center"/>
    </xf>
    <xf numFmtId="177" fontId="0" fillId="0" borderId="3" xfId="0" applyNumberFormat="1" applyBorder="1">
      <alignment vertical="center"/>
    </xf>
    <xf numFmtId="177" fontId="4" fillId="0" borderId="3" xfId="0" applyNumberFormat="1" applyFont="1" applyBorder="1" applyAlignment="1">
      <alignment vertical="center" wrapText="1"/>
    </xf>
    <xf numFmtId="0" fontId="4" fillId="0" borderId="5" xfId="0" applyFont="1" applyBorder="1" applyAlignment="1">
      <alignment horizontal="left" vertical="center"/>
    </xf>
    <xf numFmtId="177" fontId="0" fillId="0" borderId="5" xfId="0" applyNumberFormat="1" applyBorder="1">
      <alignment vertical="center"/>
    </xf>
    <xf numFmtId="177" fontId="0" fillId="0" borderId="9" xfId="0" applyNumberFormat="1" applyBorder="1">
      <alignment vertical="center"/>
    </xf>
    <xf numFmtId="177" fontId="4" fillId="0" borderId="10" xfId="0" applyNumberFormat="1" applyFont="1" applyBorder="1">
      <alignment vertical="center"/>
    </xf>
    <xf numFmtId="177" fontId="0" fillId="0" borderId="10" xfId="0" applyNumberFormat="1" applyBorder="1">
      <alignment vertical="center"/>
    </xf>
    <xf numFmtId="177" fontId="0" fillId="0" borderId="11" xfId="0" applyNumberFormat="1" applyBorder="1">
      <alignment vertical="center"/>
    </xf>
    <xf numFmtId="3" fontId="0" fillId="0" borderId="3" xfId="0" applyNumberFormat="1" applyBorder="1">
      <alignment vertical="center"/>
    </xf>
    <xf numFmtId="3" fontId="0" fillId="0" borderId="10" xfId="0" applyNumberFormat="1" applyBorder="1">
      <alignment vertical="center"/>
    </xf>
    <xf numFmtId="3" fontId="4" fillId="0" borderId="3" xfId="0" applyNumberFormat="1" applyFont="1" applyBorder="1" applyAlignment="1">
      <alignment horizontal="left" vertical="center"/>
    </xf>
    <xf numFmtId="0" fontId="0" fillId="0" borderId="5" xfId="0" applyBorder="1">
      <alignment vertical="center"/>
    </xf>
    <xf numFmtId="0" fontId="0" fillId="0" borderId="10" xfId="0" applyBorder="1">
      <alignment vertical="center"/>
    </xf>
    <xf numFmtId="0" fontId="0" fillId="0" borderId="11" xfId="0" applyBorder="1">
      <alignment vertical="center"/>
    </xf>
    <xf numFmtId="0" fontId="0" fillId="0" borderId="4" xfId="0" applyBorder="1" applyAlignment="1">
      <alignment horizontal="center" vertical="center"/>
    </xf>
    <xf numFmtId="177" fontId="0" fillId="0" borderId="4" xfId="0" applyNumberFormat="1" applyBorder="1" applyAlignment="1">
      <alignment horizontal="center" vertical="center"/>
    </xf>
    <xf numFmtId="177" fontId="4" fillId="0" borderId="4" xfId="0" applyNumberFormat="1" applyFont="1" applyBorder="1" applyAlignment="1">
      <alignment horizontal="center" vertical="center"/>
    </xf>
    <xf numFmtId="0" fontId="8" fillId="0" borderId="0" xfId="0" applyFont="1">
      <alignment vertical="center"/>
    </xf>
    <xf numFmtId="0" fontId="9" fillId="0" borderId="0" xfId="0" applyFont="1">
      <alignment vertical="center"/>
    </xf>
    <xf numFmtId="10" fontId="0" fillId="0" borderId="0" xfId="0" applyNumberFormat="1">
      <alignment vertical="center"/>
    </xf>
    <xf numFmtId="9" fontId="4" fillId="0" borderId="0" xfId="0" applyNumberFormat="1" applyFont="1">
      <alignment vertical="center"/>
    </xf>
    <xf numFmtId="10" fontId="4" fillId="0" borderId="0" xfId="0" applyNumberFormat="1" applyFont="1">
      <alignment vertical="center"/>
    </xf>
    <xf numFmtId="0" fontId="5" fillId="0" borderId="3" xfId="0" applyFont="1" applyBorder="1" applyAlignment="1">
      <alignment horizontal="center" vertical="center"/>
    </xf>
    <xf numFmtId="0" fontId="4" fillId="0" borderId="0" xfId="0" applyFont="1" applyAlignment="1">
      <alignment horizontal="center" vertical="center"/>
    </xf>
    <xf numFmtId="176" fontId="3" fillId="0" borderId="0" xfId="0" applyNumberFormat="1" applyFont="1">
      <alignment vertical="center"/>
    </xf>
    <xf numFmtId="0" fontId="4" fillId="0" borderId="2" xfId="0" applyFont="1" applyBorder="1" applyAlignment="1">
      <alignment horizontal="center" vertical="center"/>
    </xf>
    <xf numFmtId="0" fontId="4" fillId="0" borderId="5" xfId="0" applyFont="1" applyBorder="1" applyAlignment="1">
      <alignment horizontal="center" vertical="center"/>
    </xf>
    <xf numFmtId="0" fontId="10" fillId="0" borderId="0" xfId="0" applyFont="1" applyAlignment="1">
      <alignment horizontal="center" vertical="center"/>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4" fillId="0" borderId="5" xfId="0" applyFont="1" applyBorder="1" applyAlignment="1">
      <alignment horizontal="left" vertical="center" wrapText="1"/>
    </xf>
    <xf numFmtId="177" fontId="4" fillId="0" borderId="4" xfId="0" applyNumberFormat="1" applyFont="1" applyBorder="1" applyAlignment="1">
      <alignment horizontal="left" vertical="center" wrapText="1"/>
    </xf>
    <xf numFmtId="177" fontId="4" fillId="0" borderId="3" xfId="0" applyNumberFormat="1" applyFont="1" applyBorder="1" applyAlignment="1">
      <alignment horizontal="left" vertical="center" wrapText="1"/>
    </xf>
    <xf numFmtId="177" fontId="4" fillId="0" borderId="5" xfId="0" applyNumberFormat="1" applyFont="1" applyBorder="1" applyAlignment="1">
      <alignment horizontal="left" vertical="center" wrapText="1"/>
    </xf>
    <xf numFmtId="0" fontId="4" fillId="0" borderId="6" xfId="0" applyFont="1" applyBorder="1" applyAlignment="1">
      <alignment horizontal="left" vertical="center"/>
    </xf>
    <xf numFmtId="0" fontId="4" fillId="0" borderId="4" xfId="0" applyFont="1" applyBorder="1" applyAlignment="1">
      <alignment horizontal="left" vertical="center"/>
    </xf>
    <xf numFmtId="0" fontId="4" fillId="0" borderId="7" xfId="0" applyFont="1" applyBorder="1" applyAlignment="1">
      <alignment horizontal="center" vertical="center"/>
    </xf>
    <xf numFmtId="0" fontId="4" fillId="0" borderId="3" xfId="0" applyFont="1" applyBorder="1" applyAlignment="1">
      <alignment horizontal="center" vertical="center"/>
    </xf>
    <xf numFmtId="0" fontId="4" fillId="0" borderId="7" xfId="0" applyFont="1" applyBorder="1" applyAlignment="1">
      <alignment horizontal="left" vertical="center"/>
    </xf>
    <xf numFmtId="0" fontId="4" fillId="0" borderId="3" xfId="0" applyFont="1" applyBorder="1" applyAlignment="1">
      <alignment horizontal="left" vertical="center"/>
    </xf>
    <xf numFmtId="0" fontId="4" fillId="0" borderId="7" xfId="0" applyFont="1" applyBorder="1" applyAlignment="1">
      <alignment horizontal="right" vertical="center"/>
    </xf>
    <xf numFmtId="0" fontId="4" fillId="0" borderId="8" xfId="0" applyFont="1"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4" fillId="0" borderId="3" xfId="0" applyFont="1" applyBorder="1" applyAlignment="1">
      <alignment horizontal="right" vertical="center"/>
    </xf>
    <xf numFmtId="0" fontId="5" fillId="0" borderId="3" xfId="0" applyFont="1" applyBorder="1" applyAlignment="1">
      <alignment horizontal="center" vertical="center" wrapText="1"/>
    </xf>
    <xf numFmtId="0" fontId="11" fillId="0" borderId="0" xfId="0" applyFont="1">
      <alignment vertical="center"/>
    </xf>
    <xf numFmtId="0" fontId="11" fillId="0" borderId="6" xfId="0" applyFont="1" applyBorder="1" applyAlignment="1">
      <alignment horizontal="left" vertical="center"/>
    </xf>
    <xf numFmtId="0" fontId="11" fillId="0" borderId="7" xfId="0" applyFont="1" applyBorder="1" applyAlignment="1">
      <alignment horizontal="center" vertical="center"/>
    </xf>
    <xf numFmtId="0" fontId="11" fillId="0" borderId="7" xfId="0" applyFont="1" applyBorder="1" applyAlignment="1">
      <alignment horizontal="left" vertical="center"/>
    </xf>
    <xf numFmtId="0" fontId="11" fillId="0" borderId="7" xfId="0" applyFont="1" applyBorder="1" applyAlignment="1">
      <alignment horizontal="right" vertical="center"/>
    </xf>
    <xf numFmtId="0" fontId="11" fillId="0" borderId="4" xfId="0" applyFont="1" applyBorder="1" applyAlignment="1">
      <alignment horizontal="left" vertical="center" wrapText="1"/>
    </xf>
    <xf numFmtId="177" fontId="11" fillId="0" borderId="3" xfId="0" applyNumberFormat="1" applyFont="1" applyBorder="1">
      <alignment vertical="center"/>
    </xf>
    <xf numFmtId="177" fontId="11" fillId="0" borderId="3" xfId="0" applyNumberFormat="1" applyFont="1" applyBorder="1" applyAlignment="1">
      <alignment vertical="center" wrapText="1"/>
    </xf>
    <xf numFmtId="177" fontId="11" fillId="0" borderId="4" xfId="0" applyNumberFormat="1" applyFont="1" applyBorder="1" applyAlignment="1">
      <alignment horizontal="left" vertical="center" wrapText="1"/>
    </xf>
    <xf numFmtId="177" fontId="11" fillId="0" borderId="3" xfId="0" applyNumberFormat="1" applyBorder="1" applyFont="1">
      <alignment vertical="center"/>
    </xf>
    <xf numFmtId="177" fontId="11" fillId="0" borderId="10" xfId="0" applyNumberFormat="1" applyFont="1" applyBorder="1">
      <alignment vertical="center"/>
    </xf>
    <xf numFmtId="0" fontId="11" fillId="0" borderId="0" xfId="0" applyFont="1">
      <alignment vertical="center"/>
    </xf>
    <xf numFmtId="0" fontId="11" fillId="0" borderId="0" xfId="0" applyFont="1">
      <alignment vertical="center"/>
    </xf>
    <xf numFmtId="0" fontId="11" fillId="0" borderId="0" xfId="0" applyFont="1">
      <alignment vertical="center"/>
    </xf>
    <xf numFmtId="0" fontId="11" fillId="0" borderId="3" xfId="0" applyFont="1" applyBorder="1" applyAlignment="1">
      <alignment vertical="center" wrapText="1"/>
    </xf>
    <xf numFmtId="0" fontId="11" fillId="0" borderId="9" xfId="0" applyBorder="1" applyAlignment="1" applyFont="1">
      <alignment horizontal="left" vertical="center"/>
    </xf>
    <xf numFmtId="0" fontId="11" fillId="0" borderId="1" xfId="0" applyFont="1" applyBorder="1">
      <alignment vertical="center"/>
    </xf>
    <xf numFmtId="0" fontId="11" fillId="0" borderId="3" xfId="0" applyFont="1" applyBorder="1" applyAlignment="1">
      <alignment horizontal="left" vertical="center"/>
    </xf>
    <xf numFmtId="0" fontId="11" fillId="0" borderId="3" xfId="0" applyFont="1" applyBorder="1" applyAlignment="1">
      <alignment horizontal="center" vertical="center"/>
    </xf>
    <xf numFmtId="0" fontId="11" fillId="0" borderId="3" xfId="0" applyFont="1" applyBorder="1" applyAlignment="1">
      <alignment horizontal="right" vertical="center"/>
    </xf>
    <xf numFmtId="0" fontId="11" fillId="0" borderId="3" xfId="0" applyFont="1" applyBorder="1" applyAlignment="1">
      <alignment horizontal="justify" vertical="center" wrapText="1"/>
    </xf>
    <xf numFmtId="0" fontId="11" fillId="0" borderId="3" xfId="0" applyFont="1" applyBorder="1" applyAlignment="1">
      <alignment horizontal="justify" vertical="center" wrapText="1"/>
    </xf>
    <xf numFmtId="0" fontId="11" fillId="0" borderId="3" xfId="0" applyFont="1" applyBorder="1" applyAlignment="1">
      <alignment horizontal="center" vertical="center" wrapText="1"/>
    </xf>
    <xf numFmtId="0" fontId="11" fillId="0" borderId="3" xfId="0" applyFont="1" applyBorder="1" applyAlignment="1">
      <alignment horizontal="justify" vertical="center" wrapText="1"/>
    </xf>
    <xf numFmtId="0" fontId="11" fillId="0" borderId="3" xfId="0" applyFont="1" applyBorder="1" applyAlignment="1">
      <alignment horizontal="justify" vertical="center"/>
    </xf>
    <xf numFmtId="0" fontId="11" fillId="0" borderId="3" xfId="0" applyFont="1" applyBorder="1" applyAlignment="1">
      <alignment horizontal="center" vertical="center" wrapText="1"/>
    </xf>
  </cellXfs>
  <cellStyles count="3">
    <cellStyle name="常规" xfId="0" builtinId="0"/>
    <cellStyle name="常规 2" xfId="1" xr:uid="{E892ACAA-FC5A-4F11-AA16-1BCBC316239A}"/>
    <cellStyle name="常规 3" xfId="2" xr:uid="{0671CB68-11D1-406D-8AB2-BCC790B1D682}"/>
  </cellStyles>
  <dxfs count="0"/>
  <tableStyles count="0" defaultTableStyle="TableStyleMedium2" defaultPivotStyle="PivotStyleLight16"/>
  <extLst>
    <ext uri="{EB79DEF2-80B8-43e5-95BD-54CBDDF9020C}">
      <x14:slicerStyles defaultSlicerStyle="SlicerStyleLight1"/>
    </ext>
    <ext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mc="http://schemas.openxmlformats.org/markup-compatibility/2006" xmlns:x14ac="http://schemas.microsoft.com/office/spreadsheetml/2009/9/ac" xmlns:xr="http://schemas.microsoft.com/office/spreadsheetml/2014/revision" xmlns:r="http://schemas.openxmlformats.org/officeDocument/2006/relationships" xmlns:x14="http://schemas.microsoft.com/office/spreadsheetml/2009/9/main" xmlns:x15="http://schemas.microsoft.com/office/spreadsheetml/2010/11/main" xmlns:x16r2="http://schemas.microsoft.com/office/spreadsheetml/2015/02/main" xmlns:xr2="http://schemas.microsoft.com/office/spreadsheetml/2015/revision2" xmlns:xr3="http://schemas.microsoft.com/office/spreadsheetml/2016/revision3" mc:Ignorable="x14ac xr xr2 xr3" xr:uid="{B1130841-A3C0-4BCD-BF4E-350716C3CDD0}">
  <dimension ref="B1:O38"/>
  <sheetViews>
    <sheetView tabSelected="1" topLeftCell="F1" zoomScale="115" zoomScaleNormal="115" workbookViewId="0">
      <selection activeCell="M36" sqref="M36"/>
    </sheetView>
  </sheetViews>
  <sheetFormatPr defaultRowHeight="12.75" x14ac:dyDescent="0.2"/>
  <cols>
    <col min="2" max="2" width="9.28515625" bestFit="1" customWidth="1"/>
    <col min="3" max="3" width="50" customWidth="1"/>
    <col min="4" max="4" width="10.85546875" customWidth="1"/>
    <col min="6" max="6" width="15.5703125" bestFit="1" customWidth="1"/>
    <col min="7" max="7" width="11.5703125" bestFit="1" customWidth="1"/>
    <col min="8" max="8" width="8" bestFit="1" customWidth="1"/>
    <col min="11" max="11" width="15.5703125" bestFit="1" customWidth="1"/>
    <col min="12" max="12" width="14.140625" customWidth="1"/>
    <col min="13" max="13" width="16" customWidth="1"/>
    <col min="15" max="15" width="13" bestFit="1" customWidth="1"/>
  </cols>
  <sheetData>
    <row r="1" spans="2:15" x14ac:dyDescent="0.2">
      <c r="B1" t="s" s="63">
        <v>92</v>
      </c>
    </row>
    <row r="2" spans="2:15" ht="13.5" thickBot="1" x14ac:dyDescent="0.25"/>
    <row r="3" spans="2:15" ht="14.25" x14ac:dyDescent="0.2">
      <c r="B3" s="64" t="s">
        <v>93</v>
      </c>
      <c r="C3" s="65" t="s">
        <v>94</v>
      </c>
      <c r="D3" s="53"/>
      <c r="E3" s="66" t="s">
        <v>95</v>
      </c>
      <c r="F3" s="67" t="s">
        <v>96</v>
      </c>
      <c r="G3" s="57"/>
      <c r="H3" s="66" t="s">
        <v>97</v>
      </c>
      <c r="I3" s="58"/>
      <c r="K3" s="44"/>
      <c r="L3" s="44"/>
      <c r="M3" s="44"/>
      <c r="O3" s="34"/>
    </row>
    <row r="4" spans="2:15" x14ac:dyDescent="0.2">
      <c r="B4" s="52"/>
      <c r="C4" s="54"/>
      <c r="D4" s="54"/>
      <c r="E4" s="56"/>
      <c r="F4" s="4" t="s">
        <v>98</v>
      </c>
      <c r="G4" s="4" t="s">
        <v>99</v>
      </c>
      <c r="H4" s="4" t="s">
        <v>100</v>
      </c>
      <c r="I4" s="43" t="s">
        <v>101</v>
      </c>
      <c r="K4" s="42" t="s">
        <v>102</v>
      </c>
      <c r="L4" s="40" t="s">
        <v>103</v>
      </c>
      <c r="M4" s="40" t="s">
        <v>104</v>
      </c>
      <c r="O4" s="42" t="s">
        <v>105</v>
      </c>
    </row>
    <row r="5" spans="2:15" x14ac:dyDescent="0.2">
      <c r="B5" s="68" t="s">
        <v>106</v>
      </c>
      <c r="C5" s="46"/>
      <c r="D5" s="46"/>
      <c r="E5" s="46"/>
      <c r="F5" s="46"/>
      <c r="G5" s="46"/>
      <c r="H5" s="46"/>
      <c r="I5" s="47"/>
    </row>
    <row r="6" spans="2:15" x14ac:dyDescent="0.2">
      <c r="B6" s="32">
        <v>1</v>
      </c>
      <c r="C6" s="69" t="s">
        <v>107</v>
      </c>
      <c r="D6" s="17"/>
      <c r="E6" s="17"/>
      <c r="F6" s="25">
        <v>146786066</v>
      </c>
      <c r="G6" s="25">
        <v>4718126</v>
      </c>
      <c r="H6" s="17"/>
      <c r="I6" s="20"/>
      <c r="K6" s="15">
        <f>F6+G6*美元汇率</f>
        <v>1467861346</v>
      </c>
      <c r="L6" s="15">
        <f>K6/美元汇率</f>
        <v>5242361.95</v>
      </c>
      <c r="M6" s="15">
        <f>K6/人民币汇率</f>
        <v>36696533.649999999</v>
      </c>
    </row>
    <row r="7" spans="2:15" x14ac:dyDescent="0.2">
      <c r="B7" s="33" t="s">
        <v>108</v>
      </c>
      <c r="C7" s="70" t="s">
        <v>109</v>
      </c>
      <c r="D7" s="17"/>
      <c r="E7" s="17"/>
      <c r="F7" s="25">
        <f>F6</f>
        <v>146786066</v>
      </c>
      <c r="G7" s="25">
        <f>G6</f>
        <v>4718126</v>
      </c>
      <c r="H7" s="17"/>
      <c r="I7" s="20"/>
      <c r="K7" s="41">
        <f t="shared" ref="K7:K19" si="0">F7+G7*美元汇率</f>
        <v>1467861346</v>
      </c>
      <c r="L7" s="41">
        <f t="shared" ref="L7:L19" si="1">K7/美元汇率</f>
        <v>5242361.95</v>
      </c>
      <c r="M7" s="41">
        <f t="shared" ref="M7:M19" si="2">K7/人民币汇率</f>
        <v>36696533.649999999</v>
      </c>
    </row>
    <row r="8" spans="2:15" x14ac:dyDescent="0.2">
      <c r="B8" s="71" t="s">
        <v>110</v>
      </c>
      <c r="C8" s="49"/>
      <c r="D8" s="49"/>
      <c r="E8" s="49"/>
      <c r="F8" s="49"/>
      <c r="G8" s="49"/>
      <c r="H8" s="49"/>
      <c r="I8" s="50"/>
      <c r="K8" s="15"/>
      <c r="L8" s="15"/>
      <c r="M8" s="15"/>
    </row>
    <row r="9" spans="2:15" x14ac:dyDescent="0.2">
      <c r="B9" s="32">
        <v>2</v>
      </c>
      <c r="C9" s="69" t="s">
        <v>111</v>
      </c>
      <c r="D9" s="17"/>
      <c r="E9" s="17"/>
      <c r="F9" s="25">
        <v>22499562909</v>
      </c>
      <c r="G9" s="25">
        <v>65323609</v>
      </c>
      <c r="H9" s="17"/>
      <c r="I9" s="20"/>
      <c r="K9" s="15">
        <f t="shared" si="0"/>
        <v>40790173429</v>
      </c>
      <c r="L9" s="15">
        <f t="shared" si="1"/>
        <v>145679190.81785715</v>
      </c>
      <c r="M9" s="15">
        <f t="shared" si="2"/>
        <v>1019754335.725</v>
      </c>
      <c r="O9" s="15">
        <f>M9/1.377335423</f>
        <v>740381985.89553022</v>
      </c>
    </row>
    <row r="10" spans="2:15" x14ac:dyDescent="0.2">
      <c r="B10" s="32">
        <v>3</v>
      </c>
      <c r="C10" s="69" t="s">
        <v>112</v>
      </c>
      <c r="D10" s="17"/>
      <c r="E10" s="17"/>
      <c r="F10" s="25">
        <v>1297437353</v>
      </c>
      <c r="G10" s="25">
        <v>0</v>
      </c>
      <c r="H10" s="17"/>
      <c r="I10" s="20"/>
      <c r="K10" s="15">
        <f t="shared" si="0"/>
        <v>1297437353</v>
      </c>
      <c r="L10" s="15">
        <f t="shared" si="1"/>
        <v>4633704.8321428569</v>
      </c>
      <c r="M10" s="15">
        <f t="shared" si="2"/>
        <v>32435933.824999999</v>
      </c>
      <c r="O10" s="15">
        <f t="shared" ref="O10:O16" si="3">M10/1.377335423</f>
        <v>23549771.016816434</v>
      </c>
    </row>
    <row r="11" spans="2:15" x14ac:dyDescent="0.2">
      <c r="B11" s="32">
        <v>4</v>
      </c>
      <c r="C11" s="69" t="s">
        <v>113</v>
      </c>
      <c r="D11" s="17"/>
      <c r="E11" s="17"/>
      <c r="F11" s="25">
        <v>566869292</v>
      </c>
      <c r="G11" s="25">
        <v>867655</v>
      </c>
      <c r="H11" s="17"/>
      <c r="I11" s="20"/>
      <c r="K11" s="15">
        <f t="shared" si="0"/>
        <v>809812692</v>
      </c>
      <c r="L11" s="15">
        <f t="shared" si="1"/>
        <v>2892188.1857142858</v>
      </c>
      <c r="M11" s="15">
        <f t="shared" si="2"/>
        <v>20245317.300000001</v>
      </c>
      <c r="O11" s="15">
        <f t="shared" si="3"/>
        <v>14698901.198593512</v>
      </c>
    </row>
    <row r="12" spans="2:15" x14ac:dyDescent="0.2">
      <c r="B12" s="32">
        <v>5</v>
      </c>
      <c r="C12" s="69" t="s">
        <v>114</v>
      </c>
      <c r="D12" s="17"/>
      <c r="E12" s="17"/>
      <c r="F12" s="25">
        <v>39951627</v>
      </c>
      <c r="G12" s="25">
        <v>61152</v>
      </c>
      <c r="H12" s="17"/>
      <c r="I12" s="20"/>
      <c r="K12" s="15">
        <f t="shared" si="0"/>
        <v>57074187</v>
      </c>
      <c r="L12" s="15">
        <f t="shared" si="1"/>
        <v>203836.38214285715</v>
      </c>
      <c r="M12" s="15">
        <f t="shared" si="2"/>
        <v>1426854.675</v>
      </c>
      <c r="O12" s="15">
        <f t="shared" si="3"/>
        <v>1035952.9357722764</v>
      </c>
    </row>
    <row r="13" spans="2:15" x14ac:dyDescent="0.2">
      <c r="B13" s="32">
        <v>6</v>
      </c>
      <c r="C13" s="69" t="s">
        <v>115</v>
      </c>
      <c r="D13" s="17"/>
      <c r="E13" s="17"/>
      <c r="F13" s="25">
        <v>42560000</v>
      </c>
      <c r="G13" s="25">
        <v>65145</v>
      </c>
      <c r="H13" s="17"/>
      <c r="I13" s="20"/>
      <c r="K13" s="15">
        <f t="shared" si="0"/>
        <v>60800600</v>
      </c>
      <c r="L13" s="15">
        <f t="shared" si="1"/>
        <v>217145</v>
      </c>
      <c r="M13" s="15">
        <f t="shared" si="2"/>
        <v>1520015</v>
      </c>
      <c r="O13" s="15">
        <f t="shared" si="3"/>
        <v>1103591.0168412188</v>
      </c>
    </row>
    <row r="14" spans="2:15" x14ac:dyDescent="0.2">
      <c r="B14" s="32">
        <v>7</v>
      </c>
      <c r="C14" s="69" t="s">
        <v>116</v>
      </c>
      <c r="D14" s="17"/>
      <c r="E14" s="17"/>
      <c r="F14" s="25">
        <v>30729020</v>
      </c>
      <c r="G14" s="25">
        <v>208901</v>
      </c>
      <c r="H14" s="17"/>
      <c r="I14" s="20"/>
      <c r="K14" s="15">
        <f t="shared" si="0"/>
        <v>89221300</v>
      </c>
      <c r="L14" s="15">
        <f t="shared" si="1"/>
        <v>318647.5</v>
      </c>
      <c r="M14" s="15">
        <f t="shared" si="2"/>
        <v>2230532.5</v>
      </c>
      <c r="O14" s="15">
        <f t="shared" si="3"/>
        <v>1619454.8275986656</v>
      </c>
    </row>
    <row r="15" spans="2:15" x14ac:dyDescent="0.2">
      <c r="B15" s="32">
        <v>8</v>
      </c>
      <c r="C15" s="69" t="s">
        <v>117</v>
      </c>
      <c r="D15" s="17"/>
      <c r="E15" s="17"/>
      <c r="F15" s="25">
        <v>5312290</v>
      </c>
      <c r="G15" s="25">
        <v>132786</v>
      </c>
      <c r="H15" s="17"/>
      <c r="I15" s="20"/>
      <c r="K15" s="15">
        <f t="shared" si="0"/>
        <v>42492370</v>
      </c>
      <c r="L15" s="15">
        <f t="shared" si="1"/>
        <v>151758.46428571429</v>
      </c>
      <c r="M15" s="15">
        <f t="shared" si="2"/>
        <v>1062309.25</v>
      </c>
      <c r="O15" s="15">
        <f t="shared" si="3"/>
        <v>771278.53699294571</v>
      </c>
    </row>
    <row r="16" spans="2:15" ht="25.5" x14ac:dyDescent="0.2">
      <c r="B16" s="33" t="s">
        <v>118</v>
      </c>
      <c r="C16" s="70" t="s">
        <v>119</v>
      </c>
      <c r="D16" s="17"/>
      <c r="E16" s="17"/>
      <c r="F16" s="25">
        <f>SUM(F9:F15)</f>
        <v>24482422491</v>
      </c>
      <c r="G16" s="25">
        <f>SUM(G9:G15)</f>
        <v>66659248</v>
      </c>
      <c r="H16" s="17"/>
      <c r="I16" s="20"/>
      <c r="K16" s="41">
        <f t="shared" si="0"/>
        <v>43147011931</v>
      </c>
      <c r="L16" s="41">
        <f t="shared" si="1"/>
        <v>154096471.18214285</v>
      </c>
      <c r="M16" s="41">
        <f t="shared" si="2"/>
        <v>1078675298.2750001</v>
      </c>
      <c r="O16" s="15">
        <f t="shared" si="3"/>
        <v>783160935.42814529</v>
      </c>
    </row>
    <row r="17" spans="2:13" x14ac:dyDescent="0.2">
      <c r="B17" s="32"/>
      <c r="C17" s="69" t="s">
        <v>120</v>
      </c>
      <c r="D17" s="17"/>
      <c r="E17" s="17"/>
      <c r="F17" s="25">
        <f>F7+F16</f>
        <v>24629208557</v>
      </c>
      <c r="G17" s="25">
        <f>G7+G16</f>
        <v>71377374</v>
      </c>
      <c r="H17" s="17"/>
      <c r="I17" s="20"/>
      <c r="K17" s="41">
        <f t="shared" si="0"/>
        <v>44614873277</v>
      </c>
      <c r="L17" s="41">
        <f t="shared" si="1"/>
        <v>159338833.13214287</v>
      </c>
      <c r="M17" s="41">
        <f t="shared" si="2"/>
        <v>1115371831.925</v>
      </c>
    </row>
    <row r="18" spans="2:13" x14ac:dyDescent="0.2">
      <c r="B18" s="32" t="s">
        <v>121</v>
      </c>
      <c r="C18" s="72" t="s">
        <v>122</v>
      </c>
      <c r="D18" s="17"/>
      <c r="E18" s="17"/>
      <c r="F18" s="25">
        <v>3970000000</v>
      </c>
      <c r="G18" s="17"/>
      <c r="H18" s="17"/>
      <c r="I18" s="20"/>
      <c r="K18" s="15">
        <f t="shared" si="0"/>
        <v>3970000000</v>
      </c>
      <c r="L18" s="15">
        <f t="shared" si="1"/>
        <v>14178571.428571429</v>
      </c>
      <c r="M18" s="15">
        <f t="shared" si="2"/>
        <v>99250000</v>
      </c>
    </row>
    <row r="19" spans="2:13" ht="13.5" thickBot="1" x14ac:dyDescent="0.25">
      <c r="B19" s="21"/>
      <c r="C19" s="73" t="s">
        <v>123</v>
      </c>
      <c r="D19" s="23"/>
      <c r="E19" s="23"/>
      <c r="F19" s="26">
        <f>F17+F18</f>
        <v>28599208557</v>
      </c>
      <c r="G19" s="26">
        <f>G17+G18</f>
        <v>71377374</v>
      </c>
      <c r="H19" s="23"/>
      <c r="I19" s="24"/>
      <c r="K19" s="41">
        <f t="shared" si="0"/>
        <v>48584873277</v>
      </c>
      <c r="L19" s="41">
        <f t="shared" si="1"/>
        <v>173517404.56071427</v>
      </c>
      <c r="M19" s="41">
        <f t="shared" si="2"/>
        <v>1214621831.925</v>
      </c>
    </row>
    <row r="26" spans="2:13" x14ac:dyDescent="0.2">
      <c r="C26" s="74" t="s">
        <v>124</v>
      </c>
      <c r="F26" s="15">
        <f>K7</f>
        <v>1467861346</v>
      </c>
      <c r="G26" s="36">
        <f>F26/$F$29</f>
        <v>3.02123119192097E-2</v>
      </c>
    </row>
    <row r="27" spans="2:13" x14ac:dyDescent="0.2">
      <c r="C27" s="74" t="s">
        <v>125</v>
      </c>
      <c r="F27" s="15">
        <f>K16</f>
        <v>43147011931</v>
      </c>
      <c r="G27" s="36">
        <f>F27/$F$29</f>
        <v>0.88807501225748231</v>
      </c>
    </row>
    <row r="28" spans="2:13" x14ac:dyDescent="0.2">
      <c r="C28" s="74" t="s">
        <v>126</v>
      </c>
      <c r="F28" s="15">
        <f>K18</f>
        <v>3970000000</v>
      </c>
      <c r="G28" s="36">
        <f>F28/$F$29</f>
        <v>8.171267582330799E-2</v>
      </c>
    </row>
    <row r="29" spans="2:13" x14ac:dyDescent="0.2">
      <c r="C29" s="74" t="s">
        <v>127</v>
      </c>
      <c r="F29" s="15">
        <f>K19</f>
        <v>48584873277</v>
      </c>
    </row>
    <row r="30" spans="2:13" x14ac:dyDescent="0.2">
      <c r="C30" s="35"/>
    </row>
    <row r="31" spans="2:13" x14ac:dyDescent="0.2">
      <c r="C31" s="74" t="s">
        <v>128</v>
      </c>
      <c r="F31" s="15">
        <f>K9</f>
        <v>40790173429</v>
      </c>
      <c r="G31" s="36">
        <f>F31/$F$38</f>
        <v>0.94537655340376714</v>
      </c>
      <c r="H31" s="36">
        <f>G31*$G$27</f>
        <v>0.83956529425198689</v>
      </c>
    </row>
    <row r="32" spans="2:13" x14ac:dyDescent="0.2">
      <c r="C32" s="74" t="s">
        <v>129</v>
      </c>
      <c r="F32" s="15">
        <f t="shared" ref="F32:F38" si="4">K10</f>
        <v>1297437353</v>
      </c>
      <c r="G32" s="36">
        <f t="shared" ref="G32:G38" si="5">F32/$F$38</f>
        <v>3.0070155381207875E-2</v>
      </c>
      <c r="H32" s="36">
        <f t="shared" ref="H32:H38" si="6">G32*$G$27</f>
        <v>2.670455360875058E-2</v>
      </c>
    </row>
    <row r="33" spans="3:8" x14ac:dyDescent="0.2">
      <c r="C33" s="74" t="s">
        <v>130</v>
      </c>
      <c r="F33" s="15">
        <f t="shared" si="4"/>
        <v>809812692</v>
      </c>
      <c r="G33" s="36">
        <f t="shared" si="5"/>
        <v>1.8768685379535421E-2</v>
      </c>
      <c r="H33" s="36">
        <f t="shared" si="6"/>
        <v>1.6668000498487746E-2</v>
      </c>
    </row>
    <row r="34" spans="3:8" x14ac:dyDescent="0.2">
      <c r="C34" s="74" t="s">
        <v>131</v>
      </c>
      <c r="F34" s="15">
        <f t="shared" si="4"/>
        <v>57074187</v>
      </c>
      <c r="G34" s="36">
        <f t="shared" si="5"/>
        <v>1.3227842310673127E-3</v>
      </c>
      <c r="H34" s="36">
        <f t="shared" si="6"/>
        <v>1.1747316222191081E-3</v>
      </c>
    </row>
    <row r="35" spans="3:8" x14ac:dyDescent="0.2">
      <c r="C35" s="74" t="s">
        <v>132</v>
      </c>
      <c r="F35" s="15">
        <f t="shared" si="4"/>
        <v>60800600</v>
      </c>
      <c r="G35" s="36">
        <f t="shared" si="5"/>
        <v>1.4091497250662765E-3</v>
      </c>
      <c r="H35" s="36">
        <f t="shared" si="6"/>
        <v>1.2514306593608613E-3</v>
      </c>
    </row>
    <row r="36" spans="3:8" x14ac:dyDescent="0.2">
      <c r="C36" s="35" t="s">
        <v>133</v>
      </c>
      <c r="F36" s="15">
        <f t="shared" si="4"/>
        <v>89221300</v>
      </c>
      <c r="G36" s="36">
        <f t="shared" si="5"/>
        <v>2.0678442378044915E-3</v>
      </c>
      <c r="H36" s="36">
        <f t="shared" si="6"/>
        <v>1.836400796834788E-3</v>
      </c>
    </row>
    <row r="37" spans="3:8" x14ac:dyDescent="0.2">
      <c r="C37" s="74" t="s">
        <v>134</v>
      </c>
      <c r="F37" s="15">
        <f t="shared" si="4"/>
        <v>42492370</v>
      </c>
      <c r="G37" s="36">
        <f t="shared" si="5"/>
        <v>9.8482764155147316E-4</v>
      </c>
      <c r="H37" s="36">
        <f t="shared" si="6"/>
        <v>8.7460081984233194E-4</v>
      </c>
    </row>
    <row r="38" spans="3:8" x14ac:dyDescent="0.2">
      <c r="C38" s="75" t="s">
        <v>135</v>
      </c>
      <c r="F38" s="15">
        <f t="shared" si="4"/>
        <v>43147011931</v>
      </c>
      <c r="G38" s="36">
        <f t="shared" si="5"/>
        <v>1</v>
      </c>
      <c r="H38" s="36">
        <f t="shared" si="6"/>
        <v>0.88807501225748231</v>
      </c>
    </row>
  </sheetData>
  <mergeCells count="9">
    <mergeCell ref="K3:M3"/>
    <mergeCell ref="B5:I5"/>
    <mergeCell ref="B8:I8"/>
    <mergeCell ref="B3:B4"/>
    <mergeCell ref="C3:C4"/>
    <mergeCell ref="D3:D4"/>
    <mergeCell ref="E3:E4"/>
    <mergeCell ref="F3:G3"/>
    <mergeCell ref="H3:I3"/>
  </mergeCells>
  <phoneticPr fontId="2" type="noConversion"/>
  <pageMargins left="0.7" right="0.7" top="0.75" bottom="0.75" header="0.3" footer="0.3"/>
</worksheet>
</file>

<file path=xl/worksheets/sheet2.xml><?xml version="1.0" encoding="utf-8"?>
<worksheet xmlns="http://schemas.openxmlformats.org/spreadsheetml/2006/main" xmlns:mc="http://schemas.openxmlformats.org/markup-compatibility/2006" xmlns:x14ac="http://schemas.microsoft.com/office/spreadsheetml/2009/9/ac" xmlns:xr="http://schemas.microsoft.com/office/spreadsheetml/2014/revision" xmlns:r="http://schemas.openxmlformats.org/officeDocument/2006/relationships" xmlns:x14="http://schemas.microsoft.com/office/spreadsheetml/2009/9/main" xmlns:x15="http://schemas.microsoft.com/office/spreadsheetml/2010/11/main" xmlns:x16r2="http://schemas.microsoft.com/office/spreadsheetml/2015/02/main" xmlns:xr2="http://schemas.microsoft.com/office/spreadsheetml/2015/revision2" xmlns:xr3="http://schemas.microsoft.com/office/spreadsheetml/2016/revision3" mc:Ignorable="x14ac xr xr2 xr3" xr:uid="{79D8B3D2-F1B3-4714-B5A3-18042F9F92C3}">
  <dimension ref="B1:I6"/>
  <sheetViews>
    <sheetView zoomScale="70" zoomScaleNormal="70" workbookViewId="0">
      <selection activeCell="C37" sqref="C37"/>
    </sheetView>
  </sheetViews>
  <sheetFormatPr defaultRowHeight="12.75" x14ac:dyDescent="0.2"/>
  <cols>
    <col min="3" max="3" width="166.85546875" customWidth="1"/>
    <col min="6" max="6" width="13.85546875" bestFit="1" customWidth="1"/>
    <col min="7" max="7" width="11.42578125" bestFit="1" customWidth="1"/>
  </cols>
  <sheetData>
    <row r="1" spans="2:9" x14ac:dyDescent="0.2">
      <c r="B1" s="76" t="s">
        <v>136</v>
      </c>
    </row>
    <row r="2" spans="2:9" ht="13.5" thickBot="1" x14ac:dyDescent="0.25"/>
    <row r="3" spans="2:9" x14ac:dyDescent="0.2">
      <c r="B3" s="64" t="s">
        <v>137</v>
      </c>
      <c r="C3" s="65" t="s">
        <v>138</v>
      </c>
      <c r="D3" s="53"/>
      <c r="E3" s="66" t="s">
        <v>139</v>
      </c>
      <c r="F3" s="67" t="s">
        <v>140</v>
      </c>
      <c r="G3" s="57"/>
      <c r="H3" s="66" t="s">
        <v>141</v>
      </c>
      <c r="I3" s="58"/>
    </row>
    <row r="4" spans="2:9" x14ac:dyDescent="0.2">
      <c r="B4" s="52"/>
      <c r="C4" s="54"/>
      <c r="D4" s="54"/>
      <c r="E4" s="56"/>
      <c r="F4" s="3" t="s">
        <v>142</v>
      </c>
      <c r="G4" s="4" t="s">
        <v>143</v>
      </c>
      <c r="H4" s="3" t="s">
        <v>144</v>
      </c>
      <c r="I4" s="19" t="s">
        <v>145</v>
      </c>
    </row>
    <row r="5" spans="2:9" ht="331.5" x14ac:dyDescent="0.2">
      <c r="B5" s="31">
        <v>2</v>
      </c>
      <c r="C5" s="77" t="s">
        <v>146</v>
      </c>
      <c r="D5" s="14"/>
      <c r="E5" s="14"/>
      <c r="F5" s="25">
        <v>146786066</v>
      </c>
      <c r="G5" s="25">
        <v>4718126</v>
      </c>
      <c r="H5" s="14"/>
      <c r="I5" s="28"/>
    </row>
    <row r="6" spans="2:9" ht="13.5" thickBot="1" x14ac:dyDescent="0.25">
      <c r="B6" s="78" t="s">
        <v>147</v>
      </c>
      <c r="C6" s="60"/>
      <c r="D6" s="29"/>
      <c r="E6" s="29"/>
      <c r="F6" s="26">
        <f>F5</f>
        <v>146786066</v>
      </c>
      <c r="G6" s="26">
        <f>G5</f>
        <v>4718126</v>
      </c>
      <c r="H6" s="29"/>
      <c r="I6" s="30"/>
    </row>
  </sheetData>
  <mergeCells count="7">
    <mergeCell ref="F3:G3"/>
    <mergeCell ref="H3:I3"/>
    <mergeCell ref="B6:C6"/>
    <mergeCell ref="B3:B4"/>
    <mergeCell ref="C3:C4"/>
    <mergeCell ref="D3:D4"/>
    <mergeCell ref="E3:E4"/>
  </mergeCells>
  <phoneticPr fontId="2" type="noConversion"/>
  <pageMargins left="0.7" right="0.7" top="0.75" bottom="0.75" header="0.3" footer="0.3"/>
</worksheet>
</file>

<file path=xl/worksheets/sheet3.xml><?xml version="1.0" encoding="utf-8"?>
<worksheet xmlns="http://schemas.openxmlformats.org/spreadsheetml/2006/main" xmlns:mc="http://schemas.openxmlformats.org/markup-compatibility/2006" xmlns:x14ac="http://schemas.microsoft.com/office/spreadsheetml/2009/9/ac" xmlns:xr="http://schemas.microsoft.com/office/spreadsheetml/2014/revision" xmlns:r="http://schemas.openxmlformats.org/officeDocument/2006/relationships" xmlns:x14="http://schemas.microsoft.com/office/spreadsheetml/2009/9/main" xmlns:x15="http://schemas.microsoft.com/office/spreadsheetml/2010/11/main" xmlns:x16r2="http://schemas.microsoft.com/office/spreadsheetml/2015/02/main" xmlns:xr2="http://schemas.microsoft.com/office/spreadsheetml/2015/revision2" xmlns:xr3="http://schemas.microsoft.com/office/spreadsheetml/2016/revision3" mc:Ignorable="x14ac xr xr2 xr3" xr:uid="{00000000-0001-0000-0000-000000000000}">
  <dimension ref="A1:L28"/>
  <sheetViews>
    <sheetView zoomScale="115" zoomScaleNormal="115" workbookViewId="0">
      <selection activeCell="C22" sqref="C22"/>
    </sheetView>
  </sheetViews>
  <sheetFormatPr defaultRowHeight="12.75" x14ac:dyDescent="0.2"/>
  <cols>
    <col min="1" max="1" width="12.140625" style="1"/>
    <col min="2" max="2" width="125" style="1" customWidth="1"/>
    <col min="3" max="3" width="61.85546875" style="40" customWidth="1"/>
    <col min="4" max="4" width="16.28515625" style="1" customWidth="1"/>
    <col min="5" max="5" width="11.85546875" style="1" bestFit="1" customWidth="1"/>
    <col min="6" max="6" width="5.5703125" style="1"/>
    <col min="7" max="7" width="5.7109375" style="1"/>
    <col min="8" max="8" width="12.5703125" style="1" bestFit="1" customWidth="1"/>
    <col min="9" max="9" width="15.140625" style="1" bestFit="1" customWidth="1"/>
    <col min="10" max="16384" width="9.140625" style="1"/>
  </cols>
  <sheetData>
    <row r="1" spans="1:12" ht="15" x14ac:dyDescent="0.2">
      <c r="A1" s="79" t="s">
        <v>148</v>
      </c>
    </row>
    <row r="3" spans="1:12" x14ac:dyDescent="0.2">
      <c r="A3" s="80" t="s">
        <v>149</v>
      </c>
      <c r="B3" s="81" t="s">
        <v>150</v>
      </c>
      <c r="C3" s="81" t="s">
        <v>151</v>
      </c>
      <c r="D3" s="82" t="s">
        <v>152</v>
      </c>
      <c r="E3" s="61"/>
      <c r="F3" s="80" t="s">
        <v>153</v>
      </c>
      <c r="G3" s="56"/>
    </row>
    <row r="4" spans="1:12" x14ac:dyDescent="0.2">
      <c r="A4" s="56"/>
      <c r="B4" s="54"/>
      <c r="C4" s="54"/>
      <c r="D4" s="3" t="s">
        <v>154</v>
      </c>
      <c r="E4" s="4" t="s">
        <v>155</v>
      </c>
      <c r="F4" s="3" t="s">
        <v>156</v>
      </c>
      <c r="G4" s="3" t="s">
        <v>157</v>
      </c>
    </row>
    <row r="5" spans="1:12" x14ac:dyDescent="0.2">
      <c r="A5" s="3"/>
      <c r="B5" s="83" t="s">
        <v>158</v>
      </c>
      <c r="C5" s="4"/>
      <c r="D5" s="3"/>
      <c r="E5" s="3"/>
      <c r="F5" s="3"/>
      <c r="G5" s="3"/>
    </row>
    <row r="6" spans="1:12" ht="76.5" x14ac:dyDescent="0.2">
      <c r="A6" s="4" t="s">
        <v>159</v>
      </c>
      <c r="B6" s="84" t="s">
        <v>160</v>
      </c>
      <c r="C6" s="4"/>
      <c r="D6" s="27">
        <v>71577720</v>
      </c>
      <c r="E6" s="27">
        <v>383451</v>
      </c>
      <c r="F6" s="3"/>
      <c r="G6" s="3"/>
      <c r="I6" s="27">
        <f>E6*美元汇率+D6</f>
        <v>178944000</v>
      </c>
      <c r="J6" s="37">
        <f>E6*美元汇率/I6</f>
        <v>0.59999932939914158</v>
      </c>
    </row>
    <row r="7" spans="1:12" ht="25.5" x14ac:dyDescent="0.2">
      <c r="A7" s="4" t="s">
        <v>161</v>
      </c>
      <c r="B7" s="84" t="s">
        <v>162</v>
      </c>
      <c r="C7" s="4"/>
      <c r="D7" s="27">
        <v>6710400</v>
      </c>
      <c r="E7" s="27">
        <v>55920</v>
      </c>
      <c r="F7" s="3"/>
      <c r="G7" s="3"/>
      <c r="I7" s="27">
        <f t="shared" ref="I7:I25" si="0">E7*美元汇率+D7</f>
        <v>22368000</v>
      </c>
      <c r="J7" s="37">
        <f t="shared" ref="J7:J25" si="1">E7*美元汇率/I7</f>
        <v>0.7</v>
      </c>
    </row>
    <row r="8" spans="1:12" x14ac:dyDescent="0.2">
      <c r="A8" s="39" t="s">
        <v>163</v>
      </c>
      <c r="B8" s="83" t="s">
        <v>164</v>
      </c>
      <c r="C8" s="4"/>
      <c r="D8" s="3"/>
      <c r="E8" s="3"/>
      <c r="F8" s="3"/>
      <c r="G8" s="3"/>
      <c r="I8" s="27"/>
      <c r="J8" s="37"/>
    </row>
    <row r="9" spans="1:12" ht="63.75" x14ac:dyDescent="0.2">
      <c r="A9" s="4" t="s">
        <v>165</v>
      </c>
      <c r="B9" s="84" t="s">
        <v>166</v>
      </c>
      <c r="C9" s="4"/>
      <c r="D9" s="27">
        <v>403610936</v>
      </c>
      <c r="E9" s="27">
        <v>1441468</v>
      </c>
      <c r="F9" s="3"/>
      <c r="G9" s="3"/>
      <c r="I9" s="27">
        <f t="shared" si="0"/>
        <v>807221976</v>
      </c>
      <c r="J9" s="37">
        <f t="shared" si="1"/>
        <v>0.50000006441846423</v>
      </c>
      <c r="K9" s="38">
        <f>I9/$I$13</f>
        <v>0.13567602018146632</v>
      </c>
    </row>
    <row r="10" spans="1:12" ht="114.75" x14ac:dyDescent="0.2">
      <c r="A10" s="4" t="s">
        <v>167</v>
      </c>
      <c r="B10" s="84" t="s">
        <v>168</v>
      </c>
      <c r="C10" s="85" t="s">
        <v>169</v>
      </c>
      <c r="D10" s="27">
        <v>807241156</v>
      </c>
      <c r="E10" s="27">
        <v>4324506</v>
      </c>
      <c r="F10" s="3"/>
      <c r="G10" s="3"/>
      <c r="I10" s="27">
        <f t="shared" si="0"/>
        <v>2018102836</v>
      </c>
      <c r="J10" s="37">
        <f t="shared" si="1"/>
        <v>0.59999998929687848</v>
      </c>
      <c r="K10" s="38">
        <f t="shared" ref="K10:K12" si="2">I10/$I$13</f>
        <v>0.33919810070360423</v>
      </c>
    </row>
    <row r="11" spans="1:12" ht="102" x14ac:dyDescent="0.2">
      <c r="A11" s="4" t="s">
        <v>170</v>
      </c>
      <c r="B11" s="84" t="s">
        <v>171</v>
      </c>
      <c r="C11" s="85" t="s">
        <v>172</v>
      </c>
      <c r="D11" s="27">
        <v>1137246671</v>
      </c>
      <c r="E11" s="27">
        <v>2187013</v>
      </c>
      <c r="F11" s="3"/>
      <c r="G11" s="3"/>
      <c r="I11" s="27">
        <f t="shared" si="0"/>
        <v>1749610311</v>
      </c>
      <c r="J11" s="37">
        <f t="shared" si="1"/>
        <v>0.35000001780396456</v>
      </c>
      <c r="K11" s="38">
        <f t="shared" si="2"/>
        <v>0.29407049228419119</v>
      </c>
    </row>
    <row r="12" spans="1:12" ht="89.25" x14ac:dyDescent="0.2">
      <c r="A12" s="4" t="s">
        <v>173</v>
      </c>
      <c r="B12" s="84" t="s">
        <v>174</v>
      </c>
      <c r="C12" s="85" t="s">
        <v>175</v>
      </c>
      <c r="D12" s="27">
        <v>893551056</v>
      </c>
      <c r="E12" s="27">
        <v>1718367</v>
      </c>
      <c r="F12" s="3"/>
      <c r="G12" s="3"/>
      <c r="I12" s="27">
        <f t="shared" si="0"/>
        <v>1374693816</v>
      </c>
      <c r="J12" s="37">
        <f t="shared" si="1"/>
        <v>0.34999994500593579</v>
      </c>
      <c r="K12" s="38">
        <f t="shared" si="2"/>
        <v>0.23105538683073829</v>
      </c>
    </row>
    <row r="13" spans="1:12" x14ac:dyDescent="0.2">
      <c r="A13" s="8"/>
      <c r="B13" s="83" t="s">
        <v>176</v>
      </c>
      <c r="C13" s="4"/>
      <c r="D13" s="27">
        <f>SUM(D9:D12)</f>
        <v>3241649819</v>
      </c>
      <c r="E13" s="27">
        <f>SUM(E9:E12)</f>
        <v>9671354</v>
      </c>
      <c r="F13" s="3"/>
      <c r="G13" s="3"/>
      <c r="I13" s="27">
        <f t="shared" si="0"/>
        <v>5949628939</v>
      </c>
      <c r="J13" s="37">
        <f t="shared" si="1"/>
        <v>0.45515092584162919</v>
      </c>
      <c r="L13" s="38" t="e">
        <f>I13/$I$28</f>
        <v>#REF!</v>
      </c>
    </row>
    <row r="14" spans="1:12" x14ac:dyDescent="0.2">
      <c r="A14" s="9" t="s">
        <v>177</v>
      </c>
      <c r="B14" s="83" t="s">
        <v>178</v>
      </c>
      <c r="C14" s="4"/>
      <c r="D14" s="3"/>
      <c r="E14" s="3"/>
      <c r="F14" s="3"/>
      <c r="G14" s="3"/>
      <c r="I14" s="27"/>
      <c r="J14" s="37"/>
    </row>
    <row r="15" spans="1:12" ht="63.75" x14ac:dyDescent="0.2">
      <c r="A15" s="4" t="s">
        <v>179</v>
      </c>
      <c r="B15" s="84" t="s">
        <v>180</v>
      </c>
      <c r="C15" s="4"/>
      <c r="D15" s="27">
        <v>435680468</v>
      </c>
      <c r="E15" s="27">
        <v>1556001</v>
      </c>
      <c r="F15" s="3"/>
      <c r="G15" s="3"/>
      <c r="I15" s="27">
        <f t="shared" si="0"/>
        <v>871360748</v>
      </c>
      <c r="J15" s="37">
        <f t="shared" si="1"/>
        <v>0.49999989212275142</v>
      </c>
      <c r="K15" s="38">
        <f>I15/$I$19</f>
        <v>0.21936109396665232</v>
      </c>
    </row>
    <row r="16" spans="1:12" ht="127.5" x14ac:dyDescent="0.2">
      <c r="A16" s="4" t="s">
        <v>181</v>
      </c>
      <c r="B16" s="84" t="s">
        <v>182</v>
      </c>
      <c r="C16" s="85" t="s">
        <v>183</v>
      </c>
      <c r="D16" s="27">
        <v>520825727</v>
      </c>
      <c r="E16" s="27">
        <v>2790137</v>
      </c>
      <c r="F16" s="3"/>
      <c r="G16" s="3"/>
      <c r="I16" s="27">
        <f t="shared" si="0"/>
        <v>1302064087</v>
      </c>
      <c r="J16" s="37">
        <f t="shared" si="1"/>
        <v>0.5999999291893533</v>
      </c>
      <c r="K16" s="38">
        <f t="shared" ref="K16:K18" si="3">I16/$I$19</f>
        <v>0.32778869508936198</v>
      </c>
    </row>
    <row r="17" spans="1:12" ht="102" x14ac:dyDescent="0.2">
      <c r="A17" s="4" t="s">
        <v>184</v>
      </c>
      <c r="B17" s="84" t="s">
        <v>185</v>
      </c>
      <c r="C17" s="85" t="s">
        <v>186</v>
      </c>
      <c r="D17" s="27">
        <v>654778471</v>
      </c>
      <c r="E17" s="27">
        <v>1259189</v>
      </c>
      <c r="F17" s="3"/>
      <c r="G17" s="3"/>
      <c r="I17" s="27">
        <f t="shared" si="0"/>
        <v>1007351391</v>
      </c>
      <c r="J17" s="37">
        <f t="shared" si="1"/>
        <v>0.34999993363785409</v>
      </c>
      <c r="K17" s="38">
        <f t="shared" si="3"/>
        <v>0.25359611807828292</v>
      </c>
    </row>
    <row r="18" spans="1:12" ht="89.25" x14ac:dyDescent="0.2">
      <c r="A18" s="4" t="s">
        <v>187</v>
      </c>
      <c r="B18" s="84" t="s">
        <v>188</v>
      </c>
      <c r="C18" s="85" t="s">
        <v>189</v>
      </c>
      <c r="D18" s="27">
        <v>514468739</v>
      </c>
      <c r="E18" s="27">
        <v>989363</v>
      </c>
      <c r="F18" s="3"/>
      <c r="G18" s="3"/>
      <c r="I18" s="27">
        <f t="shared" si="0"/>
        <v>791490379</v>
      </c>
      <c r="J18" s="37">
        <f t="shared" si="1"/>
        <v>0.35000000928627839</v>
      </c>
      <c r="K18" s="38">
        <f t="shared" si="3"/>
        <v>0.19925409286570281</v>
      </c>
    </row>
    <row r="19" spans="1:12" x14ac:dyDescent="0.2">
      <c r="A19" s="10"/>
      <c r="B19" s="86" t="s">
        <v>190</v>
      </c>
      <c r="C19" s="4"/>
      <c r="D19" s="27">
        <f>SUM(D15:D18)</f>
        <v>2125753405</v>
      </c>
      <c r="E19" s="27">
        <f>SUM(E15:E18)</f>
        <v>6594690</v>
      </c>
      <c r="F19" s="3"/>
      <c r="G19" s="3"/>
      <c r="I19" s="27">
        <f t="shared" si="0"/>
        <v>3972266605</v>
      </c>
      <c r="J19" s="37">
        <f t="shared" si="1"/>
        <v>0.46485127601348397</v>
      </c>
      <c r="L19" s="38" t="e">
        <f>I19/$I$28</f>
        <v>#REF!</v>
      </c>
    </row>
    <row r="20" spans="1:12" x14ac:dyDescent="0.2">
      <c r="A20" s="39" t="s">
        <v>191</v>
      </c>
      <c r="B20" s="86" t="s">
        <v>192</v>
      </c>
      <c r="C20" s="4"/>
      <c r="D20" s="3"/>
      <c r="E20" s="3"/>
      <c r="F20" s="3"/>
      <c r="G20" s="3"/>
      <c r="I20" s="27"/>
      <c r="J20" s="37"/>
    </row>
    <row r="21" spans="1:12" ht="63.75" x14ac:dyDescent="0.2">
      <c r="A21" s="4" t="s">
        <v>193</v>
      </c>
      <c r="B21" s="84" t="s">
        <v>194</v>
      </c>
      <c r="C21" s="4"/>
      <c r="D21" s="27">
        <v>1880903123</v>
      </c>
      <c r="E21" s="27">
        <v>6717511</v>
      </c>
      <c r="F21" s="3"/>
      <c r="G21" s="3"/>
      <c r="I21" s="27">
        <f t="shared" si="0"/>
        <v>3761806203</v>
      </c>
      <c r="J21" s="37">
        <f t="shared" si="1"/>
        <v>0.49999999428466041</v>
      </c>
      <c r="K21" s="38">
        <f>I21/$I$25</f>
        <v>0.33261400952293863</v>
      </c>
    </row>
    <row r="22" spans="1:12" ht="114.75" x14ac:dyDescent="0.2">
      <c r="A22" s="4" t="s">
        <v>195</v>
      </c>
      <c r="B22" s="84" t="s">
        <v>196</v>
      </c>
      <c r="C22" s="85" t="s">
        <v>197</v>
      </c>
      <c r="D22" s="27">
        <v>1618004348</v>
      </c>
      <c r="E22" s="27">
        <v>8667881</v>
      </c>
      <c r="F22" s="3"/>
      <c r="G22" s="3"/>
      <c r="I22" s="27">
        <f t="shared" si="0"/>
        <v>4045011028</v>
      </c>
      <c r="J22" s="37">
        <f t="shared" si="1"/>
        <v>0.60000001562418481</v>
      </c>
      <c r="K22" s="38">
        <f t="shared" ref="K22:K24" si="4">I22/$I$25</f>
        <v>0.35765461163698964</v>
      </c>
    </row>
    <row r="23" spans="1:12" ht="102" x14ac:dyDescent="0.2">
      <c r="A23" s="4" t="s">
        <v>198</v>
      </c>
      <c r="B23" s="84" t="s">
        <v>199</v>
      </c>
      <c r="C23" s="85" t="s">
        <v>200</v>
      </c>
      <c r="D23" s="27">
        <v>1275094888</v>
      </c>
      <c r="E23" s="27">
        <v>2452105</v>
      </c>
      <c r="F23" s="3"/>
      <c r="G23" s="3"/>
      <c r="I23" s="27">
        <f t="shared" si="0"/>
        <v>1961684288</v>
      </c>
      <c r="J23" s="37">
        <f t="shared" si="1"/>
        <v>0.34999994861558476</v>
      </c>
      <c r="K23" s="38">
        <f t="shared" si="4"/>
        <v>0.17344957215751367</v>
      </c>
    </row>
    <row r="24" spans="1:12" ht="89.25" x14ac:dyDescent="0.2">
      <c r="A24" s="4" t="s">
        <v>201</v>
      </c>
      <c r="B24" s="84" t="s">
        <v>202</v>
      </c>
      <c r="C24" s="85" t="s">
        <v>203</v>
      </c>
      <c r="D24" s="27">
        <v>1001860249</v>
      </c>
      <c r="E24" s="27">
        <v>1926654</v>
      </c>
      <c r="F24" s="3"/>
      <c r="G24" s="3"/>
      <c r="I24" s="27">
        <f t="shared" si="0"/>
        <v>1541323369</v>
      </c>
      <c r="J24" s="37">
        <f t="shared" si="1"/>
        <v>0.34999996162388686</v>
      </c>
      <c r="K24" s="38">
        <f t="shared" si="4"/>
        <v>0.13628180668255807</v>
      </c>
    </row>
    <row r="25" spans="1:12" x14ac:dyDescent="0.2">
      <c r="A25" s="3"/>
      <c r="B25" s="86" t="s">
        <v>204</v>
      </c>
      <c r="C25" s="4"/>
      <c r="D25" s="27">
        <f>SUM(D21:D24)</f>
        <v>5775862608</v>
      </c>
      <c r="E25" s="27">
        <f>SUM(E21:E24)</f>
        <v>19764151</v>
      </c>
      <c r="F25" s="3"/>
      <c r="G25" s="3"/>
      <c r="I25" s="27">
        <f t="shared" si="0"/>
        <v>11309824888</v>
      </c>
      <c r="J25" s="37">
        <f t="shared" si="1"/>
        <v>0.48930574388217707</v>
      </c>
      <c r="K25" s="38"/>
      <c r="L25" s="38" t="e">
        <f>I25/$I$28</f>
        <v>#REF!</v>
      </c>
    </row>
    <row r="26" spans="1:12" x14ac:dyDescent="0.2">
      <c r="A26" s="3"/>
      <c r="B26" s="87" t="s">
        <v>205</v>
      </c>
      <c r="C26" s="4"/>
      <c r="D26" s="3"/>
      <c r="E26" s="3"/>
      <c r="F26" s="3"/>
      <c r="G26" s="3"/>
      <c r="I26" s="27"/>
      <c r="J26" s="37"/>
    </row>
    <row r="27" spans="1:12" x14ac:dyDescent="0.2">
      <c r="A27" s="4" t="s">
        <v>206</v>
      </c>
      <c r="B27" s="84" t="s">
        <v>207</v>
      </c>
      <c r="C27" s="4"/>
      <c r="D27" s="3"/>
      <c r="E27" s="3"/>
      <c r="F27" s="3"/>
      <c r="G27" s="3"/>
      <c r="I27" s="27"/>
      <c r="J27" s="37"/>
    </row>
    <row r="28" spans="1:12" x14ac:dyDescent="0.2">
      <c r="A28" s="88" t="s">
        <v>208</v>
      </c>
      <c r="B28" s="62"/>
      <c r="C28" s="4"/>
      <c r="D28" s="27" t="e">
        <f>SUM(D6:D12,D15:D18,D20:D24,#REF!,D26:D27)</f>
        <v>#REF!</v>
      </c>
      <c r="E28" s="27" t="e">
        <f>SUM(E6:E12,E15:E18,E20:E24,#REF!,E26:E27)</f>
        <v>#REF!</v>
      </c>
      <c r="F28" s="3"/>
      <c r="G28" s="3"/>
      <c r="I28" s="27" t="e">
        <f t="shared" ref="I28" si="5">E28*美元汇率+D28</f>
        <v>#REF!</v>
      </c>
      <c r="J28" s="37" t="e">
        <f t="shared" ref="J28" si="6">E28*美元汇率/I28</f>
        <v>#REF!</v>
      </c>
    </row>
  </sheetData>
  <mergeCells count="6">
    <mergeCell ref="C3:C4"/>
    <mergeCell ref="D3:E3"/>
    <mergeCell ref="F3:G3"/>
    <mergeCell ref="A28:B28"/>
    <mergeCell ref="A3:A4"/>
    <mergeCell ref="B3:B4"/>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1.Summary</vt:lpstr>
      <vt:lpstr>2.Design</vt:lpstr>
      <vt:lpstr>3.Civil土方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凡龙 周</dc:creator>
  <cp:lastModifiedBy>e51723</cp:lastModifiedBy>
  <dcterms:created xsi:type="dcterms:W3CDTF">2025-10-26T03:58:33Z</dcterms:created>
  <dcterms:modified xsi:type="dcterms:W3CDTF">2026-09-08T06:22:36Z</dcterms:modified>
</cp:coreProperties>
</file>